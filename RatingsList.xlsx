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https://progressitperth-my.sharepoint.com/personal/twatson_progressit_com_au/Documents/Microsoft Teams Chat Files/"/>
    </mc:Choice>
  </mc:AlternateContent>
  <xr:revisionPtr revIDLastSave="0" documentId="8_{472A97DC-4B37-4332-B400-D2E44B9618EE}" xr6:coauthVersionLast="47" xr6:coauthVersionMax="47" xr10:uidLastSave="{00000000-0000-0000-0000-000000000000}"/>
  <bookViews>
    <workbookView xWindow="31920" yWindow="3120" windowWidth="21600" windowHeight="11385" xr2:uid="{00000000-000D-0000-FFFF-FFFF00000000}"/>
  </bookViews>
  <sheets>
    <sheet name="Ratings" sheetId="1" r:id="rId1"/>
    <sheet name="Ratings (2)" sheetId="2" r:id="rId2"/>
  </sheets>
  <definedNames>
    <definedName name="_xlnm._FilterDatabase" localSheetId="0" hidden="1">Ratings!$A$1:$U$108</definedName>
    <definedName name="_xlnm._FilterDatabase" localSheetId="1" hidden="1">'Ratings (2)'!$A$1:$U$108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7" i="1" l="1"/>
  <c r="S188" i="1"/>
  <c r="S189" i="1"/>
  <c r="S190" i="1"/>
  <c r="S191" i="1"/>
  <c r="S192" i="1"/>
  <c r="S193" i="1"/>
  <c r="S194" i="1"/>
  <c r="S195" i="1"/>
  <c r="S196" i="1"/>
  <c r="D353" i="2"/>
  <c r="R198" i="2"/>
  <c r="Q198" i="2"/>
  <c r="P198" i="2"/>
  <c r="O198" i="2"/>
  <c r="N198" i="2"/>
  <c r="M198" i="2"/>
  <c r="L198" i="2"/>
  <c r="K198" i="2"/>
  <c r="J198" i="2"/>
  <c r="I198" i="2"/>
  <c r="H198" i="2"/>
  <c r="R197" i="2"/>
  <c r="Q197" i="2"/>
  <c r="P197" i="2"/>
  <c r="O197" i="2"/>
  <c r="N197" i="2"/>
  <c r="M197" i="2"/>
  <c r="L197" i="2"/>
  <c r="K197" i="2"/>
  <c r="J197" i="2"/>
  <c r="I197" i="2"/>
  <c r="H197" i="2"/>
  <c r="U196" i="2"/>
  <c r="S196" i="2"/>
  <c r="T196" i="2" s="1"/>
  <c r="U195" i="2"/>
  <c r="S195" i="2"/>
  <c r="T195" i="2" s="1"/>
  <c r="U194" i="2"/>
  <c r="S194" i="2"/>
  <c r="T194" i="2" s="1"/>
  <c r="U193" i="2"/>
  <c r="S193" i="2"/>
  <c r="T193" i="2" s="1"/>
  <c r="U192" i="2"/>
  <c r="S192" i="2"/>
  <c r="T192" i="2" s="1"/>
  <c r="U191" i="2"/>
  <c r="S191" i="2"/>
  <c r="T191" i="2" s="1"/>
  <c r="U190" i="2"/>
  <c r="S190" i="2"/>
  <c r="T190" i="2" s="1"/>
  <c r="U189" i="2"/>
  <c r="S189" i="2"/>
  <c r="T189" i="2" s="1"/>
  <c r="U188" i="2"/>
  <c r="S188" i="2"/>
  <c r="T188" i="2" s="1"/>
  <c r="U187" i="2"/>
  <c r="S187" i="2"/>
  <c r="T187" i="2" s="1"/>
  <c r="U186" i="2"/>
  <c r="S186" i="2"/>
  <c r="T186" i="2" s="1"/>
  <c r="U185" i="2"/>
  <c r="S185" i="2"/>
  <c r="T185" i="2" s="1"/>
  <c r="U184" i="2"/>
  <c r="S184" i="2"/>
  <c r="T184" i="2" s="1"/>
  <c r="U183" i="2"/>
  <c r="S183" i="2"/>
  <c r="T183" i="2" s="1"/>
  <c r="U6" i="2"/>
  <c r="S6" i="2"/>
  <c r="T6" i="2" s="1"/>
  <c r="U165" i="2"/>
  <c r="S165" i="2"/>
  <c r="T165" i="2" s="1"/>
  <c r="U115" i="2"/>
  <c r="S115" i="2"/>
  <c r="T115" i="2" s="1"/>
  <c r="U16" i="2"/>
  <c r="S16" i="2"/>
  <c r="T16" i="2" s="1"/>
  <c r="U172" i="2"/>
  <c r="S172" i="2"/>
  <c r="T172" i="2" s="1"/>
  <c r="U140" i="2"/>
  <c r="S140" i="2"/>
  <c r="T140" i="2" s="1"/>
  <c r="U30" i="2"/>
  <c r="S30" i="2"/>
  <c r="T30" i="2" s="1"/>
  <c r="U58" i="2"/>
  <c r="S58" i="2"/>
  <c r="T58" i="2" s="1"/>
  <c r="U137" i="2"/>
  <c r="S137" i="2"/>
  <c r="T137" i="2" s="1"/>
  <c r="U114" i="2"/>
  <c r="S114" i="2"/>
  <c r="T114" i="2" s="1"/>
  <c r="U149" i="2"/>
  <c r="S149" i="2"/>
  <c r="T149" i="2" s="1"/>
  <c r="U32" i="2"/>
  <c r="S32" i="2"/>
  <c r="T32" i="2" s="1"/>
  <c r="U75" i="2"/>
  <c r="S75" i="2"/>
  <c r="T75" i="2" s="1"/>
  <c r="U182" i="2"/>
  <c r="S182" i="2"/>
  <c r="T182" i="2" s="1"/>
  <c r="U123" i="2"/>
  <c r="S123" i="2"/>
  <c r="T123" i="2" s="1"/>
  <c r="U59" i="2"/>
  <c r="S59" i="2"/>
  <c r="T59" i="2" s="1"/>
  <c r="U130" i="2"/>
  <c r="S130" i="2"/>
  <c r="T130" i="2" s="1"/>
  <c r="U175" i="2"/>
  <c r="S175" i="2"/>
  <c r="T175" i="2" s="1"/>
  <c r="U116" i="2"/>
  <c r="S116" i="2"/>
  <c r="T116" i="2" s="1"/>
  <c r="U34" i="2"/>
  <c r="S34" i="2"/>
  <c r="T34" i="2" s="1"/>
  <c r="U181" i="2"/>
  <c r="S181" i="2"/>
  <c r="T181" i="2" s="1"/>
  <c r="U113" i="2"/>
  <c r="S113" i="2"/>
  <c r="T113" i="2" s="1"/>
  <c r="U98" i="2"/>
  <c r="S98" i="2"/>
  <c r="T98" i="2" s="1"/>
  <c r="U108" i="2"/>
  <c r="S108" i="2"/>
  <c r="T108" i="2" s="1"/>
  <c r="U107" i="2"/>
  <c r="S107" i="2"/>
  <c r="T107" i="2" s="1"/>
  <c r="U81" i="2"/>
  <c r="S81" i="2"/>
  <c r="T81" i="2" s="1"/>
  <c r="U68" i="2"/>
  <c r="S68" i="2"/>
  <c r="T68" i="2" s="1"/>
  <c r="U133" i="2"/>
  <c r="S133" i="2"/>
  <c r="T133" i="2" s="1"/>
  <c r="U20" i="2"/>
  <c r="S20" i="2"/>
  <c r="T20" i="2" s="1"/>
  <c r="U4" i="2"/>
  <c r="S4" i="2"/>
  <c r="T4" i="2" s="1"/>
  <c r="U99" i="2"/>
  <c r="S99" i="2"/>
  <c r="T99" i="2" s="1"/>
  <c r="U180" i="2"/>
  <c r="S180" i="2"/>
  <c r="T180" i="2" s="1"/>
  <c r="U106" i="2"/>
  <c r="S106" i="2"/>
  <c r="T106" i="2" s="1"/>
  <c r="U136" i="2"/>
  <c r="S136" i="2"/>
  <c r="T136" i="2" s="1"/>
  <c r="U41" i="2"/>
  <c r="S41" i="2"/>
  <c r="T41" i="2" s="1"/>
  <c r="U135" i="2"/>
  <c r="S135" i="2"/>
  <c r="T135" i="2" s="1"/>
  <c r="U159" i="2"/>
  <c r="S159" i="2"/>
  <c r="T159" i="2" s="1"/>
  <c r="U85" i="2"/>
  <c r="S85" i="2"/>
  <c r="T85" i="2" s="1"/>
  <c r="U97" i="2"/>
  <c r="S97" i="2"/>
  <c r="T97" i="2" s="1"/>
  <c r="U169" i="2"/>
  <c r="S169" i="2"/>
  <c r="T169" i="2" s="1"/>
  <c r="U178" i="2"/>
  <c r="S178" i="2"/>
  <c r="T178" i="2" s="1"/>
  <c r="U177" i="2"/>
  <c r="S177" i="2"/>
  <c r="T177" i="2" s="1"/>
  <c r="U173" i="2"/>
  <c r="S173" i="2"/>
  <c r="T173" i="2" s="1"/>
  <c r="U166" i="2"/>
  <c r="S166" i="2"/>
  <c r="T166" i="2" s="1"/>
  <c r="U171" i="2"/>
  <c r="S171" i="2"/>
  <c r="T171" i="2" s="1"/>
  <c r="U109" i="2"/>
  <c r="S109" i="2"/>
  <c r="T109" i="2" s="1"/>
  <c r="U40" i="2"/>
  <c r="S40" i="2"/>
  <c r="U78" i="2"/>
  <c r="S78" i="2"/>
  <c r="T78" i="2" s="1"/>
  <c r="U120" i="2"/>
  <c r="S120" i="2"/>
  <c r="T120" i="2" s="1"/>
  <c r="U104" i="2"/>
  <c r="S104" i="2"/>
  <c r="T104" i="2" s="1"/>
  <c r="U164" i="2"/>
  <c r="S164" i="2"/>
  <c r="T164" i="2" s="1"/>
  <c r="U129" i="2"/>
  <c r="S129" i="2"/>
  <c r="T129" i="2" s="1"/>
  <c r="U92" i="2"/>
  <c r="S92" i="2"/>
  <c r="T92" i="2" s="1"/>
  <c r="U2" i="2"/>
  <c r="S2" i="2"/>
  <c r="T2" i="2" s="1"/>
  <c r="U163" i="2"/>
  <c r="S163" i="2"/>
  <c r="T163" i="2" s="1"/>
  <c r="U132" i="2"/>
  <c r="S132" i="2"/>
  <c r="T132" i="2" s="1"/>
  <c r="U151" i="2"/>
  <c r="S151" i="2"/>
  <c r="T151" i="2" s="1"/>
  <c r="U87" i="2"/>
  <c r="S87" i="2"/>
  <c r="T87" i="2" s="1"/>
  <c r="U33" i="2"/>
  <c r="S33" i="2"/>
  <c r="T33" i="2" s="1"/>
  <c r="U128" i="2"/>
  <c r="S128" i="2"/>
  <c r="T128" i="2" s="1"/>
  <c r="U139" i="2"/>
  <c r="S139" i="2"/>
  <c r="T139" i="2" s="1"/>
  <c r="U47" i="2"/>
  <c r="S47" i="2"/>
  <c r="T47" i="2" s="1"/>
  <c r="U61" i="2"/>
  <c r="S61" i="2"/>
  <c r="T61" i="2" s="1"/>
  <c r="U119" i="2"/>
  <c r="S119" i="2"/>
  <c r="T119" i="2" s="1"/>
  <c r="U179" i="2"/>
  <c r="S179" i="2"/>
  <c r="T179" i="2" s="1"/>
  <c r="U101" i="2"/>
  <c r="S101" i="2"/>
  <c r="T101" i="2" s="1"/>
  <c r="U80" i="2"/>
  <c r="S80" i="2"/>
  <c r="T80" i="2" s="1"/>
  <c r="U57" i="2"/>
  <c r="S57" i="2"/>
  <c r="T57" i="2" s="1"/>
  <c r="U49" i="2"/>
  <c r="S49" i="2"/>
  <c r="T49" i="2" s="1"/>
  <c r="U54" i="2"/>
  <c r="S54" i="2"/>
  <c r="T54" i="2" s="1"/>
  <c r="U176" i="2"/>
  <c r="S176" i="2"/>
  <c r="T176" i="2" s="1"/>
  <c r="U86" i="2"/>
  <c r="S86" i="2"/>
  <c r="T86" i="2" s="1"/>
  <c r="U67" i="2"/>
  <c r="S67" i="2"/>
  <c r="T67" i="2" s="1"/>
  <c r="U70" i="2"/>
  <c r="S70" i="2"/>
  <c r="T70" i="2" s="1"/>
  <c r="U48" i="2"/>
  <c r="S48" i="2"/>
  <c r="T48" i="2" s="1"/>
  <c r="U26" i="2"/>
  <c r="S26" i="2"/>
  <c r="T26" i="2" s="1"/>
  <c r="U131" i="2"/>
  <c r="S131" i="2"/>
  <c r="T131" i="2" s="1"/>
  <c r="U36" i="2"/>
  <c r="S36" i="2"/>
  <c r="T36" i="2" s="1"/>
  <c r="U77" i="2"/>
  <c r="S77" i="2"/>
  <c r="T77" i="2" s="1"/>
  <c r="U17" i="2"/>
  <c r="S17" i="2"/>
  <c r="T17" i="2" s="1"/>
  <c r="U29" i="2"/>
  <c r="S29" i="2"/>
  <c r="T29" i="2" s="1"/>
  <c r="U53" i="2"/>
  <c r="S53" i="2"/>
  <c r="T53" i="2" s="1"/>
  <c r="U112" i="2"/>
  <c r="S112" i="2"/>
  <c r="T112" i="2" s="1"/>
  <c r="U10" i="2"/>
  <c r="S10" i="2"/>
  <c r="T10" i="2" s="1"/>
  <c r="U154" i="2"/>
  <c r="S154" i="2"/>
  <c r="T154" i="2" s="1"/>
  <c r="U19" i="2"/>
  <c r="S19" i="2"/>
  <c r="T19" i="2" s="1"/>
  <c r="U45" i="2"/>
  <c r="S45" i="2"/>
  <c r="T45" i="2" s="1"/>
  <c r="U8" i="2"/>
  <c r="S8" i="2"/>
  <c r="T8" i="2" s="1"/>
  <c r="U44" i="2"/>
  <c r="S44" i="2"/>
  <c r="T44" i="2" s="1"/>
  <c r="U23" i="2"/>
  <c r="S23" i="2"/>
  <c r="T23" i="2" s="1"/>
  <c r="U84" i="2"/>
  <c r="S84" i="2"/>
  <c r="T84" i="2" s="1"/>
  <c r="U9" i="2"/>
  <c r="S9" i="2"/>
  <c r="T9" i="2" s="1"/>
  <c r="U103" i="2"/>
  <c r="S103" i="2"/>
  <c r="T103" i="2" s="1"/>
  <c r="U79" i="2"/>
  <c r="S79" i="2"/>
  <c r="T79" i="2" s="1"/>
  <c r="U24" i="2"/>
  <c r="S24" i="2"/>
  <c r="T24" i="2" s="1"/>
  <c r="U91" i="2"/>
  <c r="S91" i="2"/>
  <c r="T91" i="2" s="1"/>
  <c r="U35" i="2"/>
  <c r="S35" i="2"/>
  <c r="T35" i="2" s="1"/>
  <c r="U76" i="2"/>
  <c r="S76" i="2"/>
  <c r="T76" i="2" s="1"/>
  <c r="U52" i="2"/>
  <c r="S52" i="2"/>
  <c r="T52" i="2" s="1"/>
  <c r="U60" i="2"/>
  <c r="S60" i="2"/>
  <c r="T60" i="2" s="1"/>
  <c r="U37" i="2"/>
  <c r="S37" i="2"/>
  <c r="T37" i="2" s="1"/>
  <c r="U12" i="2"/>
  <c r="S12" i="2"/>
  <c r="T12" i="2" s="1"/>
  <c r="U18" i="2"/>
  <c r="S18" i="2"/>
  <c r="T18" i="2" s="1"/>
  <c r="U88" i="2"/>
  <c r="S88" i="2"/>
  <c r="T88" i="2" s="1"/>
  <c r="U31" i="2"/>
  <c r="S31" i="2"/>
  <c r="U143" i="2"/>
  <c r="S143" i="2"/>
  <c r="U100" i="2"/>
  <c r="S100" i="2"/>
  <c r="T100" i="2" s="1"/>
  <c r="U111" i="2"/>
  <c r="S111" i="2"/>
  <c r="T111" i="2" s="1"/>
  <c r="U90" i="2"/>
  <c r="S90" i="2"/>
  <c r="T90" i="2" s="1"/>
  <c r="U21" i="2"/>
  <c r="S21" i="2"/>
  <c r="T21" i="2" s="1"/>
  <c r="U134" i="2"/>
  <c r="S134" i="2"/>
  <c r="T134" i="2" s="1"/>
  <c r="U11" i="2"/>
  <c r="S11" i="2"/>
  <c r="T11" i="2" s="1"/>
  <c r="U152" i="2"/>
  <c r="S152" i="2"/>
  <c r="T152" i="2" s="1"/>
  <c r="U144" i="2"/>
  <c r="S144" i="2"/>
  <c r="T144" i="2" s="1"/>
  <c r="U39" i="2"/>
  <c r="S39" i="2"/>
  <c r="T39" i="2" s="1"/>
  <c r="U138" i="2"/>
  <c r="S138" i="2"/>
  <c r="T138" i="2" s="1"/>
  <c r="U124" i="2"/>
  <c r="S124" i="2"/>
  <c r="T124" i="2" s="1"/>
  <c r="U155" i="2"/>
  <c r="S155" i="2"/>
  <c r="T155" i="2" s="1"/>
  <c r="U167" i="2"/>
  <c r="S167" i="2"/>
  <c r="T167" i="2" s="1"/>
  <c r="U105" i="2"/>
  <c r="S105" i="2"/>
  <c r="T105" i="2" s="1"/>
  <c r="U102" i="2"/>
  <c r="S102" i="2"/>
  <c r="T102" i="2" s="1"/>
  <c r="U38" i="2"/>
  <c r="S38" i="2"/>
  <c r="T38" i="2" s="1"/>
  <c r="U66" i="2"/>
  <c r="S66" i="2"/>
  <c r="T66" i="2" s="1"/>
  <c r="U153" i="2"/>
  <c r="S153" i="2"/>
  <c r="T153" i="2" s="1"/>
  <c r="U141" i="2"/>
  <c r="S141" i="2"/>
  <c r="T141" i="2" s="1"/>
  <c r="U127" i="2"/>
  <c r="S127" i="2"/>
  <c r="T127" i="2" s="1"/>
  <c r="U96" i="2"/>
  <c r="S96" i="2"/>
  <c r="T96" i="2" s="1"/>
  <c r="U146" i="2"/>
  <c r="S146" i="2"/>
  <c r="T146" i="2" s="1"/>
  <c r="U142" i="2"/>
  <c r="S142" i="2"/>
  <c r="T142" i="2" s="1"/>
  <c r="U74" i="2"/>
  <c r="S74" i="2"/>
  <c r="T74" i="2" s="1"/>
  <c r="U46" i="2"/>
  <c r="S46" i="2"/>
  <c r="T46" i="2" s="1"/>
  <c r="U28" i="2"/>
  <c r="S28" i="2"/>
  <c r="T28" i="2" s="1"/>
  <c r="U69" i="2"/>
  <c r="S69" i="2"/>
  <c r="T69" i="2" s="1"/>
  <c r="U145" i="2"/>
  <c r="S145" i="2"/>
  <c r="T145" i="2" s="1"/>
  <c r="U73" i="2"/>
  <c r="S73" i="2"/>
  <c r="T73" i="2" s="1"/>
  <c r="U15" i="2"/>
  <c r="S15" i="2"/>
  <c r="T15" i="2" s="1"/>
  <c r="U25" i="2"/>
  <c r="S25" i="2"/>
  <c r="T25" i="2" s="1"/>
  <c r="U168" i="2"/>
  <c r="S168" i="2"/>
  <c r="T168" i="2" s="1"/>
  <c r="U158" i="2"/>
  <c r="S158" i="2"/>
  <c r="T158" i="2" s="1"/>
  <c r="U148" i="2"/>
  <c r="S148" i="2"/>
  <c r="T148" i="2" s="1"/>
  <c r="U174" i="2"/>
  <c r="S174" i="2"/>
  <c r="T174" i="2" s="1"/>
  <c r="U170" i="2"/>
  <c r="S170" i="2"/>
  <c r="T170" i="2" s="1"/>
  <c r="U65" i="2"/>
  <c r="S65" i="2"/>
  <c r="T65" i="2" s="1"/>
  <c r="U94" i="2"/>
  <c r="S94" i="2"/>
  <c r="T94" i="2" s="1"/>
  <c r="U83" i="2"/>
  <c r="S83" i="2"/>
  <c r="T83" i="2" s="1"/>
  <c r="U162" i="2"/>
  <c r="S162" i="2"/>
  <c r="T162" i="2" s="1"/>
  <c r="U118" i="2"/>
  <c r="S118" i="2"/>
  <c r="T118" i="2" s="1"/>
  <c r="U150" i="2"/>
  <c r="S150" i="2"/>
  <c r="T150" i="2" s="1"/>
  <c r="U161" i="2"/>
  <c r="S161" i="2"/>
  <c r="T161" i="2" s="1"/>
  <c r="U95" i="2"/>
  <c r="S95" i="2"/>
  <c r="T95" i="2" s="1"/>
  <c r="U56" i="2"/>
  <c r="S56" i="2"/>
  <c r="T56" i="2" s="1"/>
  <c r="U43" i="2"/>
  <c r="S43" i="2"/>
  <c r="T43" i="2" s="1"/>
  <c r="U156" i="2"/>
  <c r="S156" i="2"/>
  <c r="T156" i="2" s="1"/>
  <c r="U117" i="2"/>
  <c r="S117" i="2"/>
  <c r="T117" i="2" s="1"/>
  <c r="U160" i="2"/>
  <c r="S160" i="2"/>
  <c r="T160" i="2" s="1"/>
  <c r="U55" i="2"/>
  <c r="S55" i="2"/>
  <c r="T55" i="2" s="1"/>
  <c r="U122" i="2"/>
  <c r="S122" i="2"/>
  <c r="T122" i="2" s="1"/>
  <c r="U82" i="2"/>
  <c r="S82" i="2"/>
  <c r="T82" i="2" s="1"/>
  <c r="U93" i="2"/>
  <c r="S93" i="2"/>
  <c r="T93" i="2" s="1"/>
  <c r="U13" i="2"/>
  <c r="S13" i="2"/>
  <c r="T13" i="2" s="1"/>
  <c r="U72" i="2"/>
  <c r="S72" i="2"/>
  <c r="T72" i="2" s="1"/>
  <c r="U71" i="2"/>
  <c r="S71" i="2"/>
  <c r="T71" i="2" s="1"/>
  <c r="U110" i="2"/>
  <c r="S110" i="2"/>
  <c r="T110" i="2" s="1"/>
  <c r="U157" i="2"/>
  <c r="S157" i="2"/>
  <c r="T157" i="2" s="1"/>
  <c r="U64" i="2"/>
  <c r="S64" i="2"/>
  <c r="T64" i="2" s="1"/>
  <c r="U14" i="2"/>
  <c r="S14" i="2"/>
  <c r="T14" i="2" s="1"/>
  <c r="U51" i="2"/>
  <c r="S51" i="2"/>
  <c r="T51" i="2" s="1"/>
  <c r="U126" i="2"/>
  <c r="S126" i="2"/>
  <c r="T126" i="2" s="1"/>
  <c r="U63" i="2"/>
  <c r="S63" i="2"/>
  <c r="T63" i="2" s="1"/>
  <c r="U89" i="2"/>
  <c r="S89" i="2"/>
  <c r="T89" i="2" s="1"/>
  <c r="U42" i="2"/>
  <c r="S42" i="2"/>
  <c r="T42" i="2" s="1"/>
  <c r="U121" i="2"/>
  <c r="S121" i="2"/>
  <c r="T121" i="2" s="1"/>
  <c r="U50" i="2"/>
  <c r="S50" i="2"/>
  <c r="U27" i="2"/>
  <c r="S27" i="2"/>
  <c r="T27" i="2" s="1"/>
  <c r="U62" i="2"/>
  <c r="S62" i="2"/>
  <c r="U125" i="2"/>
  <c r="S125" i="2"/>
  <c r="U3" i="2"/>
  <c r="S3" i="2"/>
  <c r="T3" i="2" s="1"/>
  <c r="U5" i="2"/>
  <c r="S5" i="2"/>
  <c r="T5" i="2" s="1"/>
  <c r="U22" i="2"/>
  <c r="S22" i="2"/>
  <c r="U7" i="2"/>
  <c r="S7" i="2"/>
  <c r="U147" i="2"/>
  <c r="S147" i="2"/>
  <c r="U185" i="1"/>
  <c r="U186" i="1"/>
  <c r="U191" i="1"/>
  <c r="U192" i="1"/>
  <c r="U194" i="1"/>
  <c r="U195" i="1"/>
  <c r="U196" i="1"/>
  <c r="U197" i="1"/>
  <c r="S186" i="1"/>
  <c r="T186" i="1" s="1"/>
  <c r="T191" i="1"/>
  <c r="T192" i="1"/>
  <c r="T194" i="1"/>
  <c r="U182" i="1"/>
  <c r="U183" i="1"/>
  <c r="U184" i="1"/>
  <c r="S185" i="1"/>
  <c r="T185" i="1" s="1"/>
  <c r="S184" i="1"/>
  <c r="T184" i="1" s="1"/>
  <c r="T195" i="1"/>
  <c r="T196" i="1"/>
  <c r="S197" i="1"/>
  <c r="T197" i="1" s="1"/>
  <c r="L198" i="1"/>
  <c r="U176" i="1"/>
  <c r="U177" i="1"/>
  <c r="U178" i="1"/>
  <c r="U179" i="1"/>
  <c r="U180" i="1"/>
  <c r="U181" i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75" i="1"/>
  <c r="S176" i="1"/>
  <c r="T176" i="1" s="1"/>
  <c r="S183" i="1"/>
  <c r="T183" i="1" s="1"/>
  <c r="K206" i="1"/>
  <c r="U175" i="1"/>
  <c r="T175" i="1"/>
  <c r="U172" i="1"/>
  <c r="U173" i="1"/>
  <c r="U174" i="1"/>
  <c r="S172" i="1"/>
  <c r="T172" i="1" s="1"/>
  <c r="U161" i="1"/>
  <c r="U162" i="1"/>
  <c r="U163" i="1"/>
  <c r="U164" i="1"/>
  <c r="U165" i="1"/>
  <c r="U166" i="1"/>
  <c r="U167" i="1"/>
  <c r="U168" i="1"/>
  <c r="U169" i="1"/>
  <c r="U170" i="1"/>
  <c r="U171" i="1"/>
  <c r="S169" i="1"/>
  <c r="S165" i="1"/>
  <c r="T165" i="1" s="1"/>
  <c r="S166" i="1"/>
  <c r="T166" i="1" s="1"/>
  <c r="S167" i="1"/>
  <c r="T167" i="1" s="1"/>
  <c r="S168" i="1"/>
  <c r="T168" i="1" s="1"/>
  <c r="S170" i="1"/>
  <c r="T170" i="1" s="1"/>
  <c r="S171" i="1"/>
  <c r="T171" i="1" s="1"/>
  <c r="S173" i="1"/>
  <c r="T173" i="1" s="1"/>
  <c r="S174" i="1"/>
  <c r="T174" i="1" s="1"/>
  <c r="S164" i="1"/>
  <c r="T164" i="1" s="1"/>
  <c r="S159" i="1"/>
  <c r="S160" i="1"/>
  <c r="S161" i="1"/>
  <c r="T161" i="1" s="1"/>
  <c r="S162" i="1"/>
  <c r="T162" i="1" s="1"/>
  <c r="S163" i="1"/>
  <c r="T163" i="1" s="1"/>
  <c r="I198" i="1"/>
  <c r="J198" i="1"/>
  <c r="K198" i="1"/>
  <c r="M198" i="1"/>
  <c r="N198" i="1"/>
  <c r="O198" i="1"/>
  <c r="P198" i="1"/>
  <c r="Q198" i="1"/>
  <c r="R198" i="1"/>
  <c r="H198" i="1"/>
  <c r="U151" i="1"/>
  <c r="U152" i="1"/>
  <c r="U153" i="1"/>
  <c r="U154" i="1"/>
  <c r="U155" i="1"/>
  <c r="U156" i="1"/>
  <c r="U157" i="1"/>
  <c r="U158" i="1"/>
  <c r="U159" i="1"/>
  <c r="U160" i="1"/>
  <c r="T159" i="1"/>
  <c r="T160" i="1"/>
  <c r="S153" i="1"/>
  <c r="T153" i="1"/>
  <c r="S155" i="1"/>
  <c r="T155" i="1"/>
  <c r="S154" i="1"/>
  <c r="T154" i="1"/>
  <c r="S152" i="1"/>
  <c r="T152" i="1"/>
  <c r="S156" i="1"/>
  <c r="T156" i="1"/>
  <c r="S157" i="1"/>
  <c r="T157" i="1"/>
  <c r="S158" i="1"/>
  <c r="T158" i="1"/>
  <c r="U118" i="1"/>
  <c r="U47" i="1"/>
  <c r="B289" i="1" a="1"/>
  <c r="B289" i="1"/>
  <c r="U147" i="1"/>
  <c r="R199" i="1"/>
  <c r="Q199" i="1"/>
  <c r="P199" i="1"/>
  <c r="O199" i="1"/>
  <c r="N199" i="1"/>
  <c r="M199" i="1"/>
  <c r="L199" i="1"/>
  <c r="K199" i="1"/>
  <c r="J199" i="1"/>
  <c r="I199" i="1"/>
  <c r="H199" i="1"/>
  <c r="U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T147" i="1"/>
  <c r="S148" i="1"/>
  <c r="S149" i="1"/>
  <c r="S150" i="1"/>
  <c r="S151" i="1"/>
  <c r="T151" i="1"/>
  <c r="S3" i="1"/>
  <c r="L205" i="1" s="1"/>
  <c r="S2" i="1"/>
  <c r="S199" i="1" s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8" i="1"/>
  <c r="U149" i="1"/>
  <c r="U150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8" i="1"/>
  <c r="T149" i="1"/>
  <c r="T150" i="1"/>
  <c r="L210" i="1"/>
  <c r="K210" i="1"/>
  <c r="J210" i="1"/>
  <c r="I210" i="1"/>
  <c r="I208" i="1"/>
  <c r="U124" i="1"/>
  <c r="U125" i="1"/>
  <c r="U126" i="1"/>
  <c r="U127" i="1"/>
  <c r="U128" i="1"/>
  <c r="U129" i="1"/>
  <c r="U130" i="1"/>
  <c r="U131" i="1"/>
  <c r="U132" i="1"/>
  <c r="T124" i="1"/>
  <c r="T125" i="1"/>
  <c r="T126" i="1"/>
  <c r="T127" i="1"/>
  <c r="T128" i="1"/>
  <c r="T129" i="1"/>
  <c r="T130" i="1"/>
  <c r="T131" i="1"/>
  <c r="T132" i="1"/>
  <c r="T133" i="1"/>
  <c r="K211" i="1"/>
  <c r="K209" i="1"/>
  <c r="K208" i="1"/>
  <c r="K207" i="1"/>
  <c r="K205" i="1"/>
  <c r="K204" i="1"/>
  <c r="K203" i="1"/>
  <c r="J211" i="1"/>
  <c r="J209" i="1"/>
  <c r="J208" i="1"/>
  <c r="J207" i="1"/>
  <c r="J206" i="1"/>
  <c r="J205" i="1"/>
  <c r="J204" i="1"/>
  <c r="J203" i="1"/>
  <c r="I211" i="1"/>
  <c r="I209" i="1"/>
  <c r="I207" i="1"/>
  <c r="I206" i="1"/>
  <c r="I204" i="1"/>
  <c r="I203" i="1"/>
  <c r="I205" i="1"/>
  <c r="U103" i="1"/>
  <c r="U110" i="1"/>
  <c r="U111" i="1"/>
  <c r="U112" i="1"/>
  <c r="U113" i="1"/>
  <c r="U114" i="1"/>
  <c r="U115" i="1"/>
  <c r="U116" i="1"/>
  <c r="U117" i="1"/>
  <c r="U119" i="1"/>
  <c r="U120" i="1"/>
  <c r="U121" i="1"/>
  <c r="U122" i="1"/>
  <c r="U123" i="1"/>
  <c r="T110" i="1"/>
  <c r="T111" i="1"/>
  <c r="T112" i="1"/>
  <c r="T113" i="1"/>
  <c r="T114" i="1"/>
  <c r="T116" i="1"/>
  <c r="T119" i="1"/>
  <c r="T120" i="1"/>
  <c r="T122" i="1"/>
  <c r="T123" i="1"/>
  <c r="U105" i="1"/>
  <c r="U106" i="1"/>
  <c r="U107" i="1"/>
  <c r="U108" i="1"/>
  <c r="U109" i="1"/>
  <c r="T105" i="1"/>
  <c r="T106" i="1"/>
  <c r="T107" i="1"/>
  <c r="T108" i="1"/>
  <c r="T109" i="1"/>
  <c r="U87" i="1"/>
  <c r="U88" i="1"/>
  <c r="U89" i="1"/>
  <c r="T89" i="1"/>
  <c r="U100" i="1"/>
  <c r="U101" i="1"/>
  <c r="U102" i="1"/>
  <c r="U104" i="1"/>
  <c r="T102" i="1"/>
  <c r="T103" i="1"/>
  <c r="U92" i="1"/>
  <c r="U93" i="1"/>
  <c r="U94" i="1"/>
  <c r="U95" i="1"/>
  <c r="U96" i="1"/>
  <c r="U97" i="1"/>
  <c r="U98" i="1"/>
  <c r="U99" i="1"/>
  <c r="T94" i="1"/>
  <c r="T95" i="1"/>
  <c r="T96" i="1"/>
  <c r="T97" i="1"/>
  <c r="T98" i="1"/>
  <c r="T99" i="1"/>
  <c r="T100" i="1"/>
  <c r="T101" i="1"/>
  <c r="U90" i="1"/>
  <c r="U91" i="1"/>
  <c r="T92" i="1"/>
  <c r="B277" i="1" a="1"/>
  <c r="B277" i="1"/>
  <c r="U75" i="1"/>
  <c r="T87" i="1"/>
  <c r="U74" i="1"/>
  <c r="U76" i="1"/>
  <c r="U77" i="1"/>
  <c r="U78" i="1"/>
  <c r="U79" i="1"/>
  <c r="U80" i="1"/>
  <c r="U81" i="1"/>
  <c r="U82" i="1"/>
  <c r="U83" i="1"/>
  <c r="U84" i="1"/>
  <c r="U85" i="1"/>
  <c r="U86" i="1"/>
  <c r="T80" i="1"/>
  <c r="T85" i="1"/>
  <c r="U69" i="1"/>
  <c r="B265" i="1" a="1"/>
  <c r="B265" i="1"/>
  <c r="B253" i="1" a="1"/>
  <c r="B253" i="1"/>
  <c r="B247" i="1" a="1"/>
  <c r="B247" i="1"/>
  <c r="B241" i="1" a="1"/>
  <c r="B241" i="1"/>
  <c r="B235" i="1" a="1"/>
  <c r="B235" i="1"/>
  <c r="U64" i="1"/>
  <c r="U65" i="1"/>
  <c r="U66" i="1"/>
  <c r="U67" i="1"/>
  <c r="U68" i="1"/>
  <c r="U70" i="1"/>
  <c r="U71" i="1"/>
  <c r="U72" i="1"/>
  <c r="U73" i="1"/>
  <c r="T66" i="1"/>
  <c r="T74" i="1"/>
  <c r="U60" i="1"/>
  <c r="U61" i="1"/>
  <c r="U62" i="1"/>
  <c r="U63" i="1"/>
  <c r="T63" i="1"/>
  <c r="U49" i="1"/>
  <c r="U50" i="1"/>
  <c r="U51" i="1"/>
  <c r="U52" i="1"/>
  <c r="U53" i="1"/>
  <c r="U54" i="1"/>
  <c r="U55" i="1"/>
  <c r="U56" i="1"/>
  <c r="U57" i="1"/>
  <c r="U58" i="1"/>
  <c r="U59" i="1"/>
  <c r="T57" i="1"/>
  <c r="T60" i="1"/>
  <c r="T61" i="1"/>
  <c r="U46" i="1"/>
  <c r="U48" i="1"/>
  <c r="T46" i="1"/>
  <c r="T40" i="1"/>
  <c r="T24" i="1"/>
  <c r="T26" i="1"/>
  <c r="T27" i="1"/>
  <c r="T35" i="1"/>
  <c r="T42" i="1"/>
  <c r="T44" i="1"/>
  <c r="U40" i="1"/>
  <c r="U41" i="1"/>
  <c r="U42" i="1"/>
  <c r="U43" i="1"/>
  <c r="U44" i="1"/>
  <c r="U45" i="1"/>
  <c r="T28" i="1"/>
  <c r="T82" i="1"/>
  <c r="T48" i="1"/>
  <c r="T49" i="1"/>
  <c r="T43" i="1"/>
  <c r="T56" i="1"/>
  <c r="T33" i="1"/>
  <c r="T88" i="1"/>
  <c r="T81" i="1"/>
  <c r="T30" i="1"/>
  <c r="T72" i="1"/>
  <c r="T58" i="1"/>
  <c r="U34" i="1"/>
  <c r="U35" i="1"/>
  <c r="U36" i="1"/>
  <c r="U37" i="1"/>
  <c r="U38" i="1"/>
  <c r="U39" i="1"/>
  <c r="U30" i="1"/>
  <c r="U31" i="1"/>
  <c r="U32" i="1"/>
  <c r="U33" i="1"/>
  <c r="U25" i="1"/>
  <c r="U26" i="1"/>
  <c r="U27" i="1"/>
  <c r="U28" i="1"/>
  <c r="U2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T20" i="1"/>
  <c r="T21" i="1"/>
  <c r="T22" i="1"/>
  <c r="T23" i="1"/>
  <c r="T18" i="1"/>
  <c r="T19" i="1"/>
  <c r="T16" i="1"/>
  <c r="T17" i="1"/>
  <c r="T4" i="1"/>
  <c r="T14" i="1"/>
  <c r="T12" i="1"/>
  <c r="T13" i="1"/>
  <c r="T15" i="1"/>
  <c r="T11" i="1"/>
  <c r="T8" i="1"/>
  <c r="T9" i="1"/>
  <c r="T10" i="1"/>
  <c r="T6" i="1"/>
  <c r="T5" i="1"/>
  <c r="T7" i="1"/>
  <c r="T3" i="1"/>
  <c r="T65" i="1"/>
  <c r="D354" i="1"/>
  <c r="T29" i="1"/>
  <c r="T45" i="1"/>
  <c r="T67" i="1"/>
  <c r="T69" i="1"/>
  <c r="T31" i="1"/>
  <c r="T64" i="1"/>
  <c r="T75" i="1"/>
  <c r="T62" i="1"/>
  <c r="T76" i="1"/>
  <c r="T79" i="1"/>
  <c r="T52" i="1"/>
  <c r="T34" i="1"/>
  <c r="T70" i="1"/>
  <c r="T47" i="1"/>
  <c r="T36" i="1"/>
  <c r="T37" i="1"/>
  <c r="T84" i="1"/>
  <c r="T32" i="1"/>
  <c r="T78" i="1"/>
  <c r="T55" i="1"/>
  <c r="T54" i="1"/>
  <c r="T59" i="1"/>
  <c r="T51" i="1"/>
  <c r="T83" i="1"/>
  <c r="T68" i="1"/>
  <c r="T50" i="1"/>
  <c r="T86" i="1"/>
  <c r="T41" i="1"/>
  <c r="T71" i="1"/>
  <c r="T38" i="1"/>
  <c r="T39" i="1"/>
  <c r="T73" i="1"/>
  <c r="T53" i="1"/>
  <c r="T25" i="1"/>
  <c r="T77" i="1"/>
  <c r="T91" i="1"/>
  <c r="T90" i="1"/>
  <c r="T93" i="1"/>
  <c r="T104" i="1"/>
  <c r="C932" i="1" a="1"/>
  <c r="T2" i="1"/>
  <c r="B283" i="1" a="1"/>
  <c r="B283" i="1"/>
  <c r="B229" i="1" a="1"/>
  <c r="B229" i="1"/>
  <c r="B271" i="1" a="1"/>
  <c r="B271" i="1"/>
  <c r="L211" i="1"/>
  <c r="L209" i="1"/>
  <c r="L207" i="1"/>
  <c r="T118" i="1"/>
  <c r="T121" i="1"/>
  <c r="L208" i="1"/>
  <c r="T117" i="1"/>
  <c r="T115" i="1"/>
  <c r="L206" i="1"/>
  <c r="C932" i="1"/>
  <c r="H229" i="1"/>
  <c r="B259" i="1" a="1"/>
  <c r="B259" i="1"/>
  <c r="E229" i="1"/>
  <c r="H230" i="1"/>
  <c r="H231" i="1"/>
  <c r="H232" i="1"/>
  <c r="H233" i="1"/>
  <c r="E230" i="1"/>
  <c r="E231" i="1"/>
  <c r="E232" i="1"/>
  <c r="E233" i="1"/>
  <c r="E354" i="1"/>
  <c r="C931" i="2" l="1" a="1"/>
  <c r="S198" i="2"/>
  <c r="S197" i="2"/>
  <c r="T147" i="2"/>
  <c r="U198" i="2"/>
  <c r="U197" i="2"/>
  <c r="T7" i="2"/>
  <c r="T22" i="2"/>
  <c r="T125" i="2"/>
  <c r="T62" i="2"/>
  <c r="T50" i="2"/>
  <c r="T143" i="2"/>
  <c r="T31" i="2"/>
  <c r="T40" i="2"/>
  <c r="T199" i="1"/>
  <c r="U199" i="1"/>
  <c r="U198" i="1"/>
  <c r="S198" i="1"/>
  <c r="T169" i="1"/>
  <c r="T198" i="1" s="1"/>
  <c r="L204" i="1"/>
  <c r="L203" i="1"/>
  <c r="T198" i="2" l="1"/>
  <c r="T197" i="2"/>
  <c r="C931" i="2"/>
  <c r="E35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<sst xmlns="http://schemas.openxmlformats.org/spreadsheetml/2006/main" count="1335" uniqueCount="366">
  <si>
    <t>Alcohol:</t>
  </si>
  <si>
    <t>Type</t>
  </si>
  <si>
    <t>Price (Ex. Delivery/Discount)</t>
  </si>
  <si>
    <t>Standard Drinks</t>
  </si>
  <si>
    <t>Purchaser</t>
  </si>
  <si>
    <t>Mike</t>
  </si>
  <si>
    <t>Amer</t>
  </si>
  <si>
    <t>Trev</t>
  </si>
  <si>
    <t>Scott</t>
  </si>
  <si>
    <t>Karl</t>
  </si>
  <si>
    <t>Aywin</t>
  </si>
  <si>
    <t>Brando</t>
  </si>
  <si>
    <t>Bradman</t>
  </si>
  <si>
    <t>Vanyel</t>
  </si>
  <si>
    <t>MJ</t>
  </si>
  <si>
    <t>RA</t>
  </si>
  <si>
    <t>Average</t>
  </si>
  <si>
    <t>$ Per Score</t>
  </si>
  <si>
    <t>$ Per SD</t>
  </si>
  <si>
    <t>Notes</t>
  </si>
  <si>
    <t>Suntory 'The Chita'</t>
  </si>
  <si>
    <t>Japanese Whisky</t>
  </si>
  <si>
    <t>TW</t>
  </si>
  <si>
    <t xml:space="preserve">Slight sweet subtle flavour, no smokeyness </t>
  </si>
  <si>
    <t>Jack Daniels Honey</t>
  </si>
  <si>
    <t>Whiskey Liqueur</t>
  </si>
  <si>
    <t>SK</t>
  </si>
  <si>
    <t>Wild Turkey Honey Sting</t>
  </si>
  <si>
    <r>
      <rPr>
        <sz val="11"/>
        <color rgb="FFFF0000"/>
        <rFont val="Calibri"/>
        <scheme val="minor"/>
      </rPr>
      <t>PIT</t>
    </r>
    <r>
      <rPr>
        <sz val="11"/>
        <color rgb="FF000000"/>
        <rFont val="Calibri"/>
        <scheme val="minor"/>
      </rPr>
      <t>/BS/AF</t>
    </r>
  </si>
  <si>
    <t>St Agnes V.S</t>
  </si>
  <si>
    <t>Brandy</t>
  </si>
  <si>
    <t>Kizakura Yamahai</t>
  </si>
  <si>
    <t>Sake</t>
  </si>
  <si>
    <t>From this point, drinks are listed in order of purchase</t>
  </si>
  <si>
    <t>Illegal Tender Distillers Cut</t>
  </si>
  <si>
    <t>Spiced Rum</t>
  </si>
  <si>
    <t>MC</t>
  </si>
  <si>
    <t>Singleton 12 Year Single Malt</t>
  </si>
  <si>
    <t>Scotch Whisky</t>
  </si>
  <si>
    <t>Sheepdog Peanut Butter Whiskey</t>
  </si>
  <si>
    <t>Whisky Liqueur</t>
  </si>
  <si>
    <t>Overpoweringly sickly sweet, some smell of hazelnut</t>
  </si>
  <si>
    <t>Glen Moray 12 Year Single Malt</t>
  </si>
  <si>
    <t>BG</t>
  </si>
  <si>
    <t>Yellow Rose</t>
  </si>
  <si>
    <t>Rye Whiskey</t>
  </si>
  <si>
    <r>
      <rPr>
        <sz val="11"/>
        <color rgb="FF000000"/>
        <rFont val="Calibri"/>
        <scheme val="minor"/>
      </rPr>
      <t>PIT/</t>
    </r>
    <r>
      <rPr>
        <sz val="11"/>
        <color rgb="FFFF0000"/>
        <rFont val="Calibri"/>
        <scheme val="minor"/>
      </rPr>
      <t>BS</t>
    </r>
    <r>
      <rPr>
        <sz val="11"/>
        <color rgb="FF000000"/>
        <rFont val="Calibri"/>
        <scheme val="minor"/>
      </rPr>
      <t>/AF</t>
    </r>
  </si>
  <si>
    <t>Pretty much no flavour at all, keep poring more hoping to taste something</t>
  </si>
  <si>
    <t>Buffalo Trace</t>
  </si>
  <si>
    <t>Bourbon Whiskey</t>
  </si>
  <si>
    <t>Starward Two-Fold Double Grain</t>
  </si>
  <si>
    <t>Australian Whisky</t>
  </si>
  <si>
    <t>Spey River Bourbon Cask Single Malt</t>
  </si>
  <si>
    <t>El Dorado 12 year</t>
  </si>
  <si>
    <t>Rum</t>
  </si>
  <si>
    <t>Heavy vanilla / caramel flavour</t>
  </si>
  <si>
    <t>Johnnie Walker Black Label Sherry Finish</t>
  </si>
  <si>
    <t>Smokey flavour - seems to get better the more you drink</t>
  </si>
  <si>
    <t>Captain Morgans Spiced Gold</t>
  </si>
  <si>
    <t>Cheap 'benchmark' strong smooth vanilla flavour</t>
  </si>
  <si>
    <t>Wild Road Citrus Mistress</t>
  </si>
  <si>
    <t>Gin</t>
  </si>
  <si>
    <t>Diplomatico Ron Antiguo Reserva Exclusiva</t>
  </si>
  <si>
    <t>Bumbu The Original</t>
  </si>
  <si>
    <t>Banana flavour</t>
  </si>
  <si>
    <t>Rockstar Passionfruit Grenade Navy Strength</t>
  </si>
  <si>
    <t>Heavy Passionfruit + Caramel flavour, almost artificial flavour, however works well enough.</t>
  </si>
  <si>
    <t>Rockstar Banana Bomb Navy Strength</t>
  </si>
  <si>
    <t>Heavy banana flavour - tastes artificial, like banana lollies</t>
  </si>
  <si>
    <t>Rockstar Cherry and Salted Caramel</t>
  </si>
  <si>
    <t>Colonial Pale Ale (Case, 24x)</t>
  </si>
  <si>
    <t>Beer - Pale Ale</t>
  </si>
  <si>
    <t>Following standard order, missed to be filled in</t>
  </si>
  <si>
    <t>Glenfiddich 12 Year</t>
  </si>
  <si>
    <t>Subtle Flavour, no smokiness - Probably better without mixing</t>
  </si>
  <si>
    <t>Glengoyne 10 Year</t>
  </si>
  <si>
    <t xml:space="preserve">Full flavour body, low stregnth </t>
  </si>
  <si>
    <t>Ballantine's Finest</t>
  </si>
  <si>
    <t>Campus Cognac</t>
  </si>
  <si>
    <t>Writer's Tears</t>
  </si>
  <si>
    <t>Irish Whiskey</t>
  </si>
  <si>
    <t>Aberlour Speyside Single Malt Scotch Whisky</t>
  </si>
  <si>
    <t>Naked Malt Blended Scotch Whisky</t>
  </si>
  <si>
    <t>Chivas Regal Aged 12 Years</t>
  </si>
  <si>
    <t>Chairman's Reserve Original</t>
  </si>
  <si>
    <t>Banana flavour, cinemon taste, feels like you are in the carrabean, makes scott happy, smell of orange</t>
  </si>
  <si>
    <t>Zacapa Centenario 23 Solera Gran Reserve</t>
  </si>
  <si>
    <t>High West Distilery American Prairie</t>
  </si>
  <si>
    <t>Makers Mark 46</t>
  </si>
  <si>
    <t>Chivas Regal Aged Gold Signature 18 years</t>
  </si>
  <si>
    <r>
      <rPr>
        <sz val="11"/>
        <color rgb="FF000000"/>
        <rFont val="Calibri"/>
        <scheme val="minor"/>
      </rPr>
      <t>PIT/BS/</t>
    </r>
    <r>
      <rPr>
        <sz val="11"/>
        <color rgb="FFFF0000"/>
        <rFont val="Calibri"/>
        <scheme val="minor"/>
      </rPr>
      <t>AF</t>
    </r>
  </si>
  <si>
    <t>Nick said it's a "smokey ball in his throat"</t>
  </si>
  <si>
    <t>The Glenlivet</t>
  </si>
  <si>
    <t>Grey Goose</t>
  </si>
  <si>
    <t>Vodka</t>
  </si>
  <si>
    <t>Tastes like Vodka.. Rating for Cocktail (Moscow Mule) - TW</t>
  </si>
  <si>
    <t>1800 Coconut Tequilla</t>
  </si>
  <si>
    <t>Tequila Liqueur</t>
  </si>
  <si>
    <t>#christmasspecial</t>
  </si>
  <si>
    <t>Wild Turkey Kentucky Spirit Single Barrel</t>
  </si>
  <si>
    <t>#christmasspecial - Honeyed earthy flavour, more subtle than cheaper bourbons - TW</t>
  </si>
  <si>
    <t>Limeburners Single Malt Whisky Port Cask</t>
  </si>
  <si>
    <t>#christmasspecial - Toasted Wheat Grass with toffee flavours - TW</t>
  </si>
  <si>
    <t>Suntory 'The Chita' - Round 2</t>
  </si>
  <si>
    <t>#christmasspecial - More of "staple" taste  less adventurous  but the best standard drink</t>
  </si>
  <si>
    <t>Hennessey V.S.O.P</t>
  </si>
  <si>
    <t>Cognac Brandy</t>
  </si>
  <si>
    <t>#christmasspecial - Perfumed sugar -TW</t>
  </si>
  <si>
    <t>Dictador</t>
  </si>
  <si>
    <t>Columbian Rum</t>
  </si>
  <si>
    <t>#christmasspecial - Burnt toffee with hint of vanilla - TW - Not a good mix with Coke? SK</t>
  </si>
  <si>
    <t>Rihei Ginger Shochu</t>
  </si>
  <si>
    <t>Shochu</t>
  </si>
  <si>
    <t xml:space="preserve"> </t>
  </si>
  <si>
    <t xml:space="preserve">Gotta find the right cocktail for it </t>
  </si>
  <si>
    <t>Lyre's Non Alcoholic American Malt</t>
  </si>
  <si>
    <t>0% Alcohol 'Whiskey' style</t>
  </si>
  <si>
    <t>Dubliner Whiskey &amp; Honeycomb</t>
  </si>
  <si>
    <t>With Spicy Ginger Beer</t>
  </si>
  <si>
    <t>Liquor Co. Prohibition Negroni</t>
  </si>
  <si>
    <t>Cocktail</t>
  </si>
  <si>
    <t>Illegal Tender "Barely Legal"</t>
  </si>
  <si>
    <t>White Rum</t>
  </si>
  <si>
    <t>Dead Mans Fingers Hazelnut</t>
  </si>
  <si>
    <t>Luigi Francoli</t>
  </si>
  <si>
    <t>Grappa</t>
  </si>
  <si>
    <t>Earthy flavoured</t>
  </si>
  <si>
    <t>Espolon</t>
  </si>
  <si>
    <t>Tequila</t>
  </si>
  <si>
    <t>"Quite versatile, you can put it with quite a lot of" - MC</t>
  </si>
  <si>
    <t>Woodford reserve double oak</t>
  </si>
  <si>
    <t>Jura Aged 12 Years</t>
  </si>
  <si>
    <t>Ponchos 1910 Premium Tequilas Caramel Flavour</t>
  </si>
  <si>
    <t>Canadian Club Aged 20 Years</t>
  </si>
  <si>
    <t>Canadian Whisky</t>
  </si>
  <si>
    <t>Elijah Craig Small Batch</t>
  </si>
  <si>
    <t>Brookvale Union Lemon Lime &amp; Bitters (x24 case)</t>
  </si>
  <si>
    <t>Premix</t>
  </si>
  <si>
    <t>Plantation Stiggins Fancy Pineapple Rum</t>
  </si>
  <si>
    <t>Duppy Share Aged Carribean Rum</t>
  </si>
  <si>
    <t>Goslings Black Seal Bermuda</t>
  </si>
  <si>
    <t>Black Rum</t>
  </si>
  <si>
    <t>Four Pillars Rare Dry</t>
  </si>
  <si>
    <t>Michter's small batch</t>
  </si>
  <si>
    <t>Nikka The Barrel</t>
  </si>
  <si>
    <t>Strong, but also sweet when mixed with Pepsi Max -BG</t>
  </si>
  <si>
    <t>Gingin Gin</t>
  </si>
  <si>
    <t>Carried by the Mixer - TW</t>
  </si>
  <si>
    <t>Deanston Highland Single Malt</t>
  </si>
  <si>
    <t>Plantation Original Dark Double Aged Rum</t>
  </si>
  <si>
    <t>Dark Rum</t>
  </si>
  <si>
    <t>"Fermented Molasses" - TW        "Burnt plastic" - BG</t>
  </si>
  <si>
    <t>Whipper Snapper Distillery - Upshot</t>
  </si>
  <si>
    <t>Dugite Whiskey</t>
  </si>
  <si>
    <t>Jack Daniels Apple</t>
  </si>
  <si>
    <t>Gospel Solera</t>
  </si>
  <si>
    <t>Southern Comfort</t>
  </si>
  <si>
    <t xml:space="preserve">Four Pillars - Fresh Yuzu </t>
  </si>
  <si>
    <t>Tomatin Legacy Single Malt</t>
  </si>
  <si>
    <t>Whisky</t>
  </si>
  <si>
    <t>Fireball - Cinnamon Flavoured</t>
  </si>
  <si>
    <t>SHOTS only!!! - Don't use as mixers - Trev/Mike</t>
  </si>
  <si>
    <t>Aberfeldy 12Year Single Malt Scotch Whisky</t>
  </si>
  <si>
    <t>KG</t>
  </si>
  <si>
    <t>Ezra Brooks Bourbon Whisky Kentuky Sour Mash</t>
  </si>
  <si>
    <t>AO</t>
  </si>
  <si>
    <t>5 year old spiced premium Ratu</t>
  </si>
  <si>
    <t>Bundaberg Campfire</t>
  </si>
  <si>
    <t>Bourbon Barrel Rum</t>
  </si>
  <si>
    <t>Johnnie Walker Red Label</t>
  </si>
  <si>
    <t>Blended Scotch Whisky</t>
  </si>
  <si>
    <t>Wild Turkey</t>
  </si>
  <si>
    <t>Melbourne Moonshine Apple Pie Shine</t>
  </si>
  <si>
    <t>Liqueur</t>
  </si>
  <si>
    <t>Mixed with Ginger Ale - Tw</t>
  </si>
  <si>
    <t>The Pogues Triple Distilled</t>
  </si>
  <si>
    <t>Berry Bros and Rudd Classic Sherry Cask</t>
  </si>
  <si>
    <t>Blended Malt Scotch Whisky</t>
  </si>
  <si>
    <t>Ned Australian Whisky</t>
  </si>
  <si>
    <t>Plantation Three Star Rum</t>
  </si>
  <si>
    <t>For Peat's Sake</t>
  </si>
  <si>
    <t>TINCUP</t>
  </si>
  <si>
    <t>American Whiskey</t>
  </si>
  <si>
    <t>Old Virginia 12 Year</t>
  </si>
  <si>
    <t>Sailor Jerry Spiced Rum</t>
  </si>
  <si>
    <t>Buffalo Trace Round 2</t>
  </si>
  <si>
    <t>Dimple</t>
  </si>
  <si>
    <t>Scotch Whiskey</t>
  </si>
  <si>
    <t>Red Leg Spiced Rum Vanilla &amp; Ginger</t>
  </si>
  <si>
    <t>Malibu White Rum with Coconut 700ml</t>
  </si>
  <si>
    <t>Jim Beam Extra-Aged</t>
  </si>
  <si>
    <t>Authentic American Hogs 3 Bourbon</t>
  </si>
  <si>
    <t xml:space="preserve">The Glenrothes </t>
  </si>
  <si>
    <t>Single Malt Scotch Whiskey</t>
  </si>
  <si>
    <t>Old Number 15 Sour Mash</t>
  </si>
  <si>
    <t>Kentucky Whiskey</t>
  </si>
  <si>
    <t>EM</t>
  </si>
  <si>
    <t>Black Tears Dry Spiced Rum</t>
  </si>
  <si>
    <t>Cuban Rum</t>
  </si>
  <si>
    <t>Dewars 12 Year Double Aged</t>
  </si>
  <si>
    <t>Paddy Irish Whiskey</t>
  </si>
  <si>
    <t>Blended Irish Whiskey</t>
  </si>
  <si>
    <t>Tanqueray Signature Recipe</t>
  </si>
  <si>
    <t>Dry Gin</t>
  </si>
  <si>
    <t>Levenside Special Reserve</t>
  </si>
  <si>
    <t>Proper Twelve</t>
  </si>
  <si>
    <t>Irish Whisky</t>
  </si>
  <si>
    <t>Tomintoul Seiridh</t>
  </si>
  <si>
    <t>St Remy VSOP</t>
  </si>
  <si>
    <t>Very easy to drink - BG/MJ/MC</t>
  </si>
  <si>
    <t>Howler Head Monkey Spirit</t>
  </si>
  <si>
    <t>Banana Bourbon Whiskey</t>
  </si>
  <si>
    <t>Ciroc</t>
  </si>
  <si>
    <t>Republic of Fremantle - Signature</t>
  </si>
  <si>
    <t>Monkey Shoulder</t>
  </si>
  <si>
    <t>Paul John</t>
  </si>
  <si>
    <t>Indian Single Malt Whisky</t>
  </si>
  <si>
    <t>Rich flavour, overwhelming if too much</t>
  </si>
  <si>
    <t>Alize Bleu</t>
  </si>
  <si>
    <t>Cognac Liquer</t>
  </si>
  <si>
    <t>Red Leg Tropical Spiced Cane Spirit</t>
  </si>
  <si>
    <t>Tropical Rum</t>
  </si>
  <si>
    <t>Mount Gay Eclipse Heritage Blend</t>
  </si>
  <si>
    <t>Barbados Rum</t>
  </si>
  <si>
    <t>Republic of Fremantle - Aromatic</t>
  </si>
  <si>
    <t>Bushmills</t>
  </si>
  <si>
    <t>Single Malt Irish Whiskey</t>
  </si>
  <si>
    <t>Plum drink - fill out later</t>
  </si>
  <si>
    <t>Tastes strongly of honey with some fruity flavour, feels like it needs to be a part of a cocktail</t>
  </si>
  <si>
    <t>Toki</t>
  </si>
  <si>
    <t>Dimple 12 Years</t>
  </si>
  <si>
    <t>Gentleman Jack</t>
  </si>
  <si>
    <t>Tennessee Whiskey</t>
  </si>
  <si>
    <t>Gospel Solera - Round 2</t>
  </si>
  <si>
    <t>Rye Whisky</t>
  </si>
  <si>
    <t>Perrier-Jouet Grand Brut</t>
  </si>
  <si>
    <t>Champagne</t>
  </si>
  <si>
    <t>CG</t>
  </si>
  <si>
    <t>Label 5</t>
  </si>
  <si>
    <t>Glenmorangie Original 10 Year</t>
  </si>
  <si>
    <t>Single Malt Scotch Whisky</t>
  </si>
  <si>
    <t xml:space="preserve">Four Roses </t>
  </si>
  <si>
    <t>Small Batch Bourbon</t>
  </si>
  <si>
    <t>Brix Gold</t>
  </si>
  <si>
    <t>Amrut fusion</t>
  </si>
  <si>
    <t>Indian Whisky</t>
  </si>
  <si>
    <t>Suntory Whisky Classic (purchased in Japan)</t>
  </si>
  <si>
    <t>Aerstone Sea Cask 10 years</t>
  </si>
  <si>
    <t>Husk Bam Bam</t>
  </si>
  <si>
    <t>Explorers Series Japanese Mugi Shochu Cask 15Yo</t>
  </si>
  <si>
    <t>Auchentoshan</t>
  </si>
  <si>
    <t>b</t>
  </si>
  <si>
    <t>Jameson Black Barrel</t>
  </si>
  <si>
    <t>triple distilled irish whiskey</t>
  </si>
  <si>
    <t>Bushmills Black Bush</t>
  </si>
  <si>
    <t>Baron Samedi</t>
  </si>
  <si>
    <t>BH</t>
  </si>
  <si>
    <t>Rusty Barrel</t>
  </si>
  <si>
    <t>#christmasspecial2</t>
  </si>
  <si>
    <t>Booker Noes (Special Barrel)</t>
  </si>
  <si>
    <t>Bourbon</t>
  </si>
  <si>
    <t>Bruichladdich</t>
  </si>
  <si>
    <t xml:space="preserve">Stone Beer Cask </t>
  </si>
  <si>
    <t>ey</t>
  </si>
  <si>
    <t>Lagavulin Game of Thrones Lannister</t>
  </si>
  <si>
    <t xml:space="preserve">#christmasspecial2 - smokey ball in my mouth BG, </t>
  </si>
  <si>
    <t>The Balvenie 12 years</t>
  </si>
  <si>
    <t>Wild Turkey Longbranch</t>
  </si>
  <si>
    <t>Erin Sake Wasabi Gin</t>
  </si>
  <si>
    <t>Sake Wasabi Gin</t>
  </si>
  <si>
    <t>really interesting flavour profile (straight) ! - BG</t>
  </si>
  <si>
    <t>The Koshi-no Shinobu</t>
  </si>
  <si>
    <t>Blended Whisky</t>
  </si>
  <si>
    <t>1792 Small Batch</t>
  </si>
  <si>
    <t>Gold Rum</t>
  </si>
  <si>
    <t>Archie Rose Copper Pot Distilled</t>
  </si>
  <si>
    <t>Double Malt Whisky</t>
  </si>
  <si>
    <t>Woodfords, round 2</t>
  </si>
  <si>
    <t>23rd Street Distillery Signature Rum</t>
  </si>
  <si>
    <t>i</t>
  </si>
  <si>
    <t>Calvet Sauternes</t>
  </si>
  <si>
    <t>Desert Wine</t>
  </si>
  <si>
    <t>De Bortoli Noble One</t>
  </si>
  <si>
    <t>Botrytis Semillon</t>
  </si>
  <si>
    <t>Diplomatico Mantuano</t>
  </si>
  <si>
    <t>Premium Dark Rum</t>
  </si>
  <si>
    <t>The Whistler</t>
  </si>
  <si>
    <t>8 Year Old Signature Premium</t>
  </si>
  <si>
    <t>Rum Liqueur</t>
  </si>
  <si>
    <t>Kentucky Straight Bourbon Whiskey 700mL</t>
  </si>
  <si>
    <t xml:space="preserve">The Deacon </t>
  </si>
  <si>
    <t>P.U.M.A</t>
  </si>
  <si>
    <t>Neft</t>
  </si>
  <si>
    <t>Jameson</t>
  </si>
  <si>
    <t>GlenGrant</t>
  </si>
  <si>
    <t>Single Malt Whisky</t>
  </si>
  <si>
    <t>Glenfiddich Our Solera Fifteen</t>
  </si>
  <si>
    <t>Wild Road Rogue &amp; Vagabond</t>
  </si>
  <si>
    <t>Botanical Spiced Rum Spirit</t>
  </si>
  <si>
    <t>It tasted like plastic pretending to be flowers - RA</t>
  </si>
  <si>
    <t>Bulleit Bourbon 95</t>
  </si>
  <si>
    <t>Bourbon Rye</t>
  </si>
  <si>
    <t>Jefferson's Very Small Batch</t>
  </si>
  <si>
    <t>The Arran</t>
  </si>
  <si>
    <t>Bowsaw Bourbon</t>
  </si>
  <si>
    <t>Small Batch American Whiskey</t>
  </si>
  <si>
    <t>Wanderin Rogue</t>
  </si>
  <si>
    <t>Tennessee</t>
  </si>
  <si>
    <t>Angels Envy Bourbon</t>
  </si>
  <si>
    <t>McConnells</t>
  </si>
  <si>
    <t>Weller</t>
  </si>
  <si>
    <t>Wheated Bourbon</t>
  </si>
  <si>
    <t>Clyde Mays Straight Bourdon Whiskey</t>
  </si>
  <si>
    <t>Bulleit</t>
  </si>
  <si>
    <t>The Deveron</t>
  </si>
  <si>
    <t>Nikka Coffey Malt Whisky</t>
  </si>
  <si>
    <t>Coffey Malt Whisky</t>
  </si>
  <si>
    <t>Gin MG Orange Blossom</t>
  </si>
  <si>
    <t>Teeling Small Batch</t>
  </si>
  <si>
    <t>Balvenie</t>
  </si>
  <si>
    <t>Blended Whiskey</t>
  </si>
  <si>
    <t>McAllister</t>
  </si>
  <si>
    <t>Unbound</t>
  </si>
  <si>
    <t>Australian Grain Whisky</t>
  </si>
  <si>
    <t>$74</t>
  </si>
  <si>
    <t>Finnlaigh Irish Whiskey</t>
  </si>
  <si>
    <t>TOKI</t>
  </si>
  <si>
    <t>Coastal Stone</t>
  </si>
  <si>
    <t>36 South Double Grain Whisky</t>
  </si>
  <si>
    <t>Basil Hayden Bourbon</t>
  </si>
  <si>
    <t>Bourbon Whisky</t>
  </si>
  <si>
    <t xml:space="preserve">Shanky's Whip </t>
  </si>
  <si>
    <t>Liqueur Whiskey Blend</t>
  </si>
  <si>
    <t>Appleton Estate Signature</t>
  </si>
  <si>
    <t>Jamaica Rum</t>
  </si>
  <si>
    <t>TW (On Hiatus)</t>
  </si>
  <si>
    <t>MC (On Hiatus)</t>
  </si>
  <si>
    <t>Recommendations:</t>
  </si>
  <si>
    <t>Advocate</t>
  </si>
  <si>
    <t>`Laphroaig 12-year-old</t>
  </si>
  <si>
    <t>Edinburgh Gin</t>
  </si>
  <si>
    <t>Average spend per contributer</t>
  </si>
  <si>
    <t>AVG Cost</t>
  </si>
  <si>
    <t>Purchases</t>
  </si>
  <si>
    <t>Total Cost</t>
  </si>
  <si>
    <t>AVG Score</t>
  </si>
  <si>
    <t>Things that look interesting</t>
  </si>
  <si>
    <t>Found By</t>
  </si>
  <si>
    <t>PIT/BS/AF</t>
  </si>
  <si>
    <t>Paradise Spiced Rum</t>
  </si>
  <si>
    <t>https://www.danmurphys.com.au/product/DM_ER_2000004745_0794712498346/paradise-spiced-rum-700ml</t>
  </si>
  <si>
    <t>Cargo Cult Banana Spiced</t>
  </si>
  <si>
    <t>https://www.danmurphys.com.au/product/DM_57630/cargo-cult-banana-spiced-rum-700ml</t>
  </si>
  <si>
    <t>Butch Barn (Ricky Gervais)</t>
  </si>
  <si>
    <t>Avoidances:</t>
  </si>
  <si>
    <t>Hated By</t>
  </si>
  <si>
    <t>Whistlepig 12 Year</t>
  </si>
  <si>
    <t>Top 5</t>
  </si>
  <si>
    <t>Rating</t>
  </si>
  <si>
    <t>Top 5 Average</t>
  </si>
  <si>
    <t>Hidden Results Tables without much formatting</t>
  </si>
  <si>
    <t>If you're this far down you've gone too far</t>
  </si>
  <si>
    <t>If the table goes down his far........</t>
  </si>
  <si>
    <t>Gospel Solera Australian Rye</t>
  </si>
  <si>
    <t>The Gospel</t>
  </si>
  <si>
    <t>#Christmas?????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</si>
</sst>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[$$-409]* #,##0.00_ ;_-[$$-409]* \-#,##0.00\ ;_-[$$-409]* &quot;-&quot;??_ ;_-@_ "/>
    <numFmt numFmtId="165" formatCode="_([$$-409]* #,##0.00_);_([$$-409]* \(#,##0.00\);_([$$-409]* &quot;-&quot;??_);_(@_)"/>
    <numFmt numFmtId="166" formatCode="0.000"/>
    <numFmt numFmtId="167" formatCode="_-[$$-C09]* #,##0.00_-;\-[$$-C09]* #,##0.00_-;_-[$$-C09]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10.5"/>
      <color theme="1"/>
      <name val="Calibri"/>
    </font>
    <font>
      <sz val="11"/>
      <color rgb="FF191C19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8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0" xfId="0" applyNumberFormat="1"/>
    <xf numFmtId="0" fontId="0" fillId="0" borderId="4" xfId="0" applyBorder="1"/>
    <xf numFmtId="0" fontId="3" fillId="0" borderId="4" xfId="0" applyFont="1" applyBorder="1"/>
    <xf numFmtId="0" fontId="0" fillId="0" borderId="0" xfId="0" applyAlignment="1">
      <alignment horizontal="left" indent="3"/>
    </xf>
    <xf numFmtId="2" fontId="0" fillId="0" borderId="0" xfId="0" applyNumberFormat="1"/>
    <xf numFmtId="0" fontId="3" fillId="0" borderId="1" xfId="0" applyFont="1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0" fillId="0" borderId="8" xfId="0" applyBorder="1"/>
    <xf numFmtId="0" fontId="0" fillId="0" borderId="9" xfId="0" applyBorder="1"/>
    <xf numFmtId="0" fontId="0" fillId="2" borderId="8" xfId="0" applyFill="1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0" xfId="0" applyAlignment="1">
      <alignment wrapText="1"/>
    </xf>
    <xf numFmtId="0" fontId="0" fillId="0" borderId="17" xfId="0" applyBorder="1"/>
    <xf numFmtId="0" fontId="0" fillId="0" borderId="16" xfId="0" applyBorder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3" borderId="19" xfId="0" applyFill="1" applyBorder="1"/>
    <xf numFmtId="0" fontId="0" fillId="3" borderId="18" xfId="0" applyFill="1" applyBorder="1"/>
    <xf numFmtId="0" fontId="0" fillId="3" borderId="0" xfId="0" applyFill="1" applyAlignment="1">
      <alignment horizontal="left" indent="3"/>
    </xf>
    <xf numFmtId="0" fontId="0" fillId="3" borderId="21" xfId="0" applyFill="1" applyBorder="1"/>
    <xf numFmtId="0" fontId="0" fillId="3" borderId="1" xfId="0" applyFill="1" applyBorder="1"/>
    <xf numFmtId="0" fontId="0" fillId="3" borderId="2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0" xfId="0" applyFill="1" applyAlignment="1">
      <alignment horizontal="left" indent="3"/>
    </xf>
    <xf numFmtId="0" fontId="0" fillId="4" borderId="21" xfId="0" applyFill="1" applyBorder="1"/>
    <xf numFmtId="0" fontId="0" fillId="0" borderId="0" xfId="0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4" fillId="0" borderId="0" xfId="1"/>
    <xf numFmtId="0" fontId="0" fillId="0" borderId="35" xfId="0" applyBorder="1"/>
    <xf numFmtId="0" fontId="0" fillId="0" borderId="36" xfId="0" applyBorder="1"/>
    <xf numFmtId="0" fontId="0" fillId="0" borderId="24" xfId="0" applyBorder="1"/>
    <xf numFmtId="0" fontId="0" fillId="0" borderId="37" xfId="0" applyBorder="1"/>
    <xf numFmtId="0" fontId="0" fillId="0" borderId="33" xfId="0" applyBorder="1"/>
    <xf numFmtId="165" fontId="0" fillId="0" borderId="4" xfId="0" applyNumberFormat="1" applyBorder="1"/>
    <xf numFmtId="165" fontId="3" fillId="0" borderId="4" xfId="0" applyNumberFormat="1" applyFont="1" applyBorder="1"/>
    <xf numFmtId="165" fontId="0" fillId="0" borderId="27" xfId="0" applyNumberFormat="1" applyBorder="1"/>
    <xf numFmtId="165" fontId="0" fillId="0" borderId="23" xfId="0" applyNumberFormat="1" applyBorder="1"/>
    <xf numFmtId="165" fontId="0" fillId="0" borderId="1" xfId="0" applyNumberFormat="1" applyBorder="1"/>
    <xf numFmtId="165" fontId="0" fillId="0" borderId="19" xfId="0" applyNumberFormat="1" applyBorder="1"/>
    <xf numFmtId="165" fontId="0" fillId="3" borderId="19" xfId="0" applyNumberFormat="1" applyFill="1" applyBorder="1"/>
    <xf numFmtId="165" fontId="0" fillId="3" borderId="1" xfId="0" applyNumberFormat="1" applyFill="1" applyBorder="1"/>
    <xf numFmtId="165" fontId="0" fillId="4" borderId="19" xfId="0" applyNumberFormat="1" applyFill="1" applyBorder="1"/>
    <xf numFmtId="165" fontId="0" fillId="0" borderId="31" xfId="0" applyNumberFormat="1" applyBorder="1"/>
    <xf numFmtId="0" fontId="5" fillId="0" borderId="0" xfId="0" applyFont="1"/>
    <xf numFmtId="0" fontId="0" fillId="0" borderId="34" xfId="0" applyBorder="1"/>
    <xf numFmtId="0" fontId="2" fillId="0" borderId="39" xfId="0" applyFont="1" applyBorder="1"/>
    <xf numFmtId="0" fontId="2" fillId="0" borderId="40" xfId="0" applyFont="1" applyBorder="1"/>
    <xf numFmtId="2" fontId="0" fillId="0" borderId="24" xfId="0" applyNumberFormat="1" applyBorder="1"/>
    <xf numFmtId="2" fontId="0" fillId="0" borderId="37" xfId="0" applyNumberFormat="1" applyBorder="1"/>
    <xf numFmtId="2" fontId="0" fillId="0" borderId="34" xfId="0" applyNumberFormat="1" applyBorder="1"/>
    <xf numFmtId="0" fontId="0" fillId="0" borderId="0" xfId="0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43" xfId="0" applyBorder="1"/>
    <xf numFmtId="0" fontId="3" fillId="0" borderId="19" xfId="0" applyFont="1" applyBorder="1"/>
    <xf numFmtId="0" fontId="0" fillId="0" borderId="9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44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3" borderId="9" xfId="0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0" fontId="0" fillId="0" borderId="45" xfId="0" applyBorder="1" applyAlignment="1">
      <alignment horizontal="right"/>
    </xf>
    <xf numFmtId="0" fontId="0" fillId="0" borderId="46" xfId="0" applyBorder="1" applyAlignment="1">
      <alignment horizontal="right"/>
    </xf>
    <xf numFmtId="44" fontId="0" fillId="0" borderId="1" xfId="0" applyNumberFormat="1" applyBorder="1"/>
    <xf numFmtId="0" fontId="0" fillId="6" borderId="32" xfId="0" applyFill="1" applyBorder="1"/>
    <xf numFmtId="0" fontId="0" fillId="6" borderId="47" xfId="0" applyFill="1" applyBorder="1"/>
    <xf numFmtId="44" fontId="0" fillId="6" borderId="47" xfId="0" applyNumberFormat="1" applyFill="1" applyBorder="1"/>
    <xf numFmtId="0" fontId="0" fillId="6" borderId="48" xfId="0" applyFill="1" applyBorder="1" applyAlignment="1">
      <alignment horizontal="right"/>
    </xf>
    <xf numFmtId="0" fontId="0" fillId="0" borderId="14" xfId="0" applyBorder="1" applyAlignment="1">
      <alignment wrapText="1"/>
    </xf>
    <xf numFmtId="0" fontId="0" fillId="3" borderId="49" xfId="0" applyFill="1" applyBorder="1"/>
    <xf numFmtId="0" fontId="0" fillId="7" borderId="1" xfId="0" applyFill="1" applyBorder="1"/>
    <xf numFmtId="165" fontId="0" fillId="7" borderId="1" xfId="0" applyNumberFormat="1" applyFill="1" applyBorder="1"/>
    <xf numFmtId="0" fontId="0" fillId="7" borderId="9" xfId="0" applyFill="1" applyBorder="1" applyAlignment="1">
      <alignment horizontal="right"/>
    </xf>
    <xf numFmtId="0" fontId="0" fillId="7" borderId="21" xfId="0" applyFill="1" applyBorder="1"/>
    <xf numFmtId="0" fontId="0" fillId="0" borderId="42" xfId="0" applyBorder="1"/>
    <xf numFmtId="0" fontId="2" fillId="0" borderId="3" xfId="0" applyFont="1" applyBorder="1"/>
    <xf numFmtId="0" fontId="0" fillId="4" borderId="1" xfId="0" applyFill="1" applyBorder="1"/>
    <xf numFmtId="0" fontId="0" fillId="5" borderId="1" xfId="0" applyFill="1" applyBorder="1"/>
    <xf numFmtId="0" fontId="6" fillId="0" borderId="0" xfId="0" applyFont="1"/>
    <xf numFmtId="166" fontId="6" fillId="0" borderId="0" xfId="0" applyNumberFormat="1" applyFont="1"/>
    <xf numFmtId="164" fontId="6" fillId="0" borderId="0" xfId="0" applyNumberFormat="1" applyFont="1" applyAlignment="1">
      <alignment vertical="center"/>
    </xf>
    <xf numFmtId="164" fontId="0" fillId="0" borderId="50" xfId="0" applyNumberFormat="1" applyBorder="1"/>
    <xf numFmtId="164" fontId="0" fillId="0" borderId="51" xfId="0" applyNumberFormat="1" applyBorder="1"/>
    <xf numFmtId="0" fontId="0" fillId="0" borderId="52" xfId="0" applyBorder="1"/>
    <xf numFmtId="2" fontId="0" fillId="0" borderId="53" xfId="0" applyNumberFormat="1" applyBorder="1" applyAlignment="1">
      <alignment horizontal="right"/>
    </xf>
    <xf numFmtId="2" fontId="0" fillId="0" borderId="42" xfId="0" applyNumberFormat="1" applyBorder="1" applyAlignment="1">
      <alignment horizontal="right"/>
    </xf>
    <xf numFmtId="164" fontId="0" fillId="0" borderId="54" xfId="0" applyNumberFormat="1" applyBorder="1"/>
    <xf numFmtId="0" fontId="0" fillId="0" borderId="47" xfId="0" applyBorder="1"/>
    <xf numFmtId="2" fontId="0" fillId="0" borderId="48" xfId="0" applyNumberFormat="1" applyBorder="1" applyAlignment="1">
      <alignment horizontal="right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165" fontId="0" fillId="0" borderId="51" xfId="0" applyNumberFormat="1" applyBorder="1"/>
    <xf numFmtId="165" fontId="0" fillId="0" borderId="50" xfId="0" applyNumberFormat="1" applyBorder="1"/>
    <xf numFmtId="165" fontId="0" fillId="0" borderId="54" xfId="0" applyNumberFormat="1" applyBorder="1"/>
    <xf numFmtId="0" fontId="0" fillId="8" borderId="9" xfId="0" applyFill="1" applyBorder="1" applyAlignment="1">
      <alignment horizontal="right"/>
    </xf>
    <xf numFmtId="165" fontId="0" fillId="0" borderId="2" xfId="0" applyNumberFormat="1" applyBorder="1"/>
    <xf numFmtId="0" fontId="2" fillId="0" borderId="14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2" fontId="0" fillId="0" borderId="1" xfId="0" applyNumberFormat="1" applyBorder="1"/>
    <xf numFmtId="164" fontId="0" fillId="0" borderId="1" xfId="0" applyNumberFormat="1" applyBorder="1"/>
    <xf numFmtId="2" fontId="0" fillId="5" borderId="1" xfId="0" applyNumberFormat="1" applyFill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164" fontId="0" fillId="0" borderId="9" xfId="0" applyNumberFormat="1" applyBorder="1"/>
    <xf numFmtId="0" fontId="0" fillId="3" borderId="8" xfId="0" applyFill="1" applyBorder="1"/>
    <xf numFmtId="0" fontId="0" fillId="4" borderId="8" xfId="0" applyFill="1" applyBorder="1"/>
    <xf numFmtId="0" fontId="0" fillId="5" borderId="8" xfId="0" applyFill="1" applyBorder="1"/>
    <xf numFmtId="2" fontId="0" fillId="0" borderId="8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0" fontId="3" fillId="0" borderId="0" xfId="0" applyFont="1"/>
    <xf numFmtId="167" fontId="10" fillId="0" borderId="0" xfId="0" applyNumberFormat="1" applyFont="1"/>
    <xf numFmtId="0" fontId="0" fillId="7" borderId="49" xfId="0" applyFill="1" applyBorder="1"/>
    <xf numFmtId="0" fontId="2" fillId="0" borderId="55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right"/>
    </xf>
    <xf numFmtId="0" fontId="0" fillId="0" borderId="56" xfId="0" applyBorder="1"/>
    <xf numFmtId="0" fontId="0" fillId="0" borderId="57" xfId="0" applyBorder="1"/>
    <xf numFmtId="165" fontId="0" fillId="0" borderId="57" xfId="0" applyNumberFormat="1" applyBorder="1"/>
    <xf numFmtId="0" fontId="9" fillId="0" borderId="35" xfId="0" applyFont="1" applyBorder="1"/>
    <xf numFmtId="0" fontId="10" fillId="0" borderId="35" xfId="0" applyFont="1" applyBorder="1"/>
    <xf numFmtId="165" fontId="0" fillId="0" borderId="6" xfId="0" applyNumberFormat="1" applyBorder="1"/>
    <xf numFmtId="0" fontId="0" fillId="0" borderId="1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7" borderId="0" xfId="0" applyFill="1" applyAlignment="1">
      <alignment vertical="center" wrapText="1"/>
    </xf>
    <xf numFmtId="0" fontId="0" fillId="0" borderId="5" xfId="0" applyBorder="1"/>
    <xf numFmtId="0" fontId="0" fillId="0" borderId="41" xfId="0" applyBorder="1"/>
    <xf numFmtId="0" fontId="0" fillId="0" borderId="38" xfId="0" applyBorder="1"/>
    <xf numFmtId="0" fontId="0" fillId="0" borderId="7" xfId="0" applyBorder="1" applyAlignment="1">
      <alignment horizontal="center" vertical="center" wrapText="1"/>
    </xf>
    <xf numFmtId="0" fontId="0" fillId="7" borderId="0" xfId="0" applyFill="1"/>
    <xf numFmtId="0" fontId="0" fillId="0" borderId="49" xfId="0" applyBorder="1" applyAlignment="1">
      <alignment horizontal="center" vertical="center" wrapText="1"/>
    </xf>
    <xf numFmtId="0" fontId="0" fillId="0" borderId="49" xfId="0" applyBorder="1"/>
    <xf numFmtId="0" fontId="0" fillId="0" borderId="14" xfId="0" applyBorder="1"/>
    <xf numFmtId="0" fontId="0" fillId="0" borderId="25" xfId="0" applyBorder="1" applyAlignment="1">
      <alignment horizontal="left"/>
    </xf>
    <xf numFmtId="0" fontId="9" fillId="0" borderId="8" xfId="0" applyFont="1" applyBorder="1"/>
    <xf numFmtId="0" fontId="0" fillId="3" borderId="35" xfId="0" applyFill="1" applyBorder="1"/>
    <xf numFmtId="165" fontId="0" fillId="0" borderId="26" xfId="0" applyNumberFormat="1" applyBorder="1"/>
    <xf numFmtId="0" fontId="0" fillId="4" borderId="28" xfId="0" applyFill="1" applyBorder="1"/>
    <xf numFmtId="167" fontId="10" fillId="0" borderId="1" xfId="0" applyNumberFormat="1" applyFont="1" applyBorder="1"/>
    <xf numFmtId="165" fontId="0" fillId="7" borderId="0" xfId="0" applyNumberFormat="1" applyFill="1"/>
    <xf numFmtId="165" fontId="3" fillId="0" borderId="1" xfId="0" applyNumberFormat="1" applyFont="1" applyBorder="1"/>
    <xf numFmtId="165" fontId="0" fillId="4" borderId="1" xfId="0" applyNumberFormat="1" applyFill="1" applyBorder="1"/>
    <xf numFmtId="0" fontId="0" fillId="3" borderId="20" xfId="0" applyFill="1" applyBorder="1" applyAlignment="1">
      <alignment horizontal="right"/>
    </xf>
    <xf numFmtId="0" fontId="0" fillId="7" borderId="24" xfId="0" applyFill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1" fillId="0" borderId="9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22"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bgColor rgb="FFFFFFFF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anmurphys.com.au/product/DM_ER_2000004745_0794712498346/paradise-spiced-rum-700ml" TargetMode="External"/><Relationship Id="rId1" Type="http://schemas.openxmlformats.org/officeDocument/2006/relationships/hyperlink" Target="https://www.danmurphys.com.au/product/DM_57630/cargo-cult-banana-spiced-rum-700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6"/>
  <sheetViews>
    <sheetView tabSelected="1" topLeftCell="H1" workbookViewId="0">
      <pane ySplit="1" topLeftCell="A177" activePane="bottomLeft" state="frozen"/>
      <selection pane="bottomLeft" activeCell="Q190" sqref="Q190"/>
      <selection activeCell="E1" sqref="E1"/>
    </sheetView>
  </sheetViews>
  <sheetFormatPr defaultRowHeight="15"/>
  <cols>
    <col min="1" max="1" width="11.5703125" customWidth="1"/>
    <col min="2" max="2" width="45.7109375" bestFit="1" customWidth="1"/>
    <col min="3" max="3" width="27" bestFit="1" customWidth="1"/>
    <col min="4" max="4" width="17" customWidth="1"/>
    <col min="5" max="5" width="18.140625" customWidth="1"/>
    <col min="6" max="6" width="14.28515625" style="24" customWidth="1"/>
    <col min="7" max="7" width="6.7109375" customWidth="1"/>
    <col min="8" max="18" width="10.85546875" customWidth="1"/>
    <col min="19" max="19" width="10.85546875" style="7" customWidth="1"/>
    <col min="20" max="20" width="12.85546875" customWidth="1"/>
    <col min="21" max="21" width="13.7109375" style="6" customWidth="1"/>
    <col min="22" max="22" width="5.140625" style="6" customWidth="1"/>
    <col min="23" max="23" width="89.7109375" customWidth="1"/>
    <col min="24" max="24" width="22.42578125" customWidth="1"/>
    <col min="25" max="25" width="27" bestFit="1" customWidth="1"/>
    <col min="26" max="26" width="20.140625" customWidth="1"/>
    <col min="27" max="27" width="39" bestFit="1" customWidth="1"/>
    <col min="29" max="29" width="38.7109375" bestFit="1" customWidth="1"/>
    <col min="31" max="31" width="39" bestFit="1" customWidth="1"/>
    <col min="33" max="33" width="27" bestFit="1" customWidth="1"/>
    <col min="35" max="35" width="45.140625" bestFit="1" customWidth="1"/>
    <col min="37" max="37" width="33.42578125" bestFit="1" customWidth="1"/>
    <col min="39" max="39" width="28.42578125" bestFit="1" customWidth="1"/>
    <col min="16382" max="16384" width="9.140625" bestFit="1" customWidth="1"/>
  </cols>
  <sheetData>
    <row r="1" spans="1:23">
      <c r="B1" s="143" t="s">
        <v>0</v>
      </c>
      <c r="C1" s="144" t="s">
        <v>1</v>
      </c>
      <c r="D1" s="144" t="s">
        <v>2</v>
      </c>
      <c r="E1" s="144" t="s">
        <v>3</v>
      </c>
      <c r="F1" s="145" t="s">
        <v>4</v>
      </c>
      <c r="G1" s="123"/>
      <c r="H1" s="129" t="s">
        <v>5</v>
      </c>
      <c r="I1" s="130" t="s">
        <v>6</v>
      </c>
      <c r="J1" s="130" t="s">
        <v>7</v>
      </c>
      <c r="K1" s="130" t="s">
        <v>8</v>
      </c>
      <c r="L1" s="130" t="s">
        <v>9</v>
      </c>
      <c r="M1" s="130" t="s">
        <v>10</v>
      </c>
      <c r="N1" s="130" t="s">
        <v>11</v>
      </c>
      <c r="O1" s="130" t="s">
        <v>12</v>
      </c>
      <c r="P1" s="130" t="s">
        <v>13</v>
      </c>
      <c r="Q1" s="130" t="s">
        <v>14</v>
      </c>
      <c r="R1" s="130" t="s">
        <v>15</v>
      </c>
      <c r="S1" s="131" t="s">
        <v>16</v>
      </c>
      <c r="T1" s="130" t="s">
        <v>17</v>
      </c>
      <c r="U1" s="132" t="s">
        <v>18</v>
      </c>
      <c r="V1" s="22"/>
      <c r="W1" s="23" t="s">
        <v>19</v>
      </c>
    </row>
    <row r="2" spans="1:23">
      <c r="B2" s="146" t="s">
        <v>20</v>
      </c>
      <c r="C2" s="147" t="s">
        <v>21</v>
      </c>
      <c r="D2" s="148">
        <v>99</v>
      </c>
      <c r="E2" s="147">
        <v>24</v>
      </c>
      <c r="F2" s="83" t="s">
        <v>22</v>
      </c>
      <c r="H2" s="12">
        <v>9</v>
      </c>
      <c r="I2" s="1"/>
      <c r="J2" s="1">
        <v>9</v>
      </c>
      <c r="K2" s="1">
        <v>8</v>
      </c>
      <c r="L2" s="1"/>
      <c r="M2" s="1"/>
      <c r="N2" s="1">
        <v>8.5</v>
      </c>
      <c r="O2" s="1"/>
      <c r="P2" s="1"/>
      <c r="Q2" s="1"/>
      <c r="R2" s="1"/>
      <c r="S2" s="126">
        <f>IFERROR(AVERAGE(H2:R2)," ")</f>
        <v>8.625</v>
      </c>
      <c r="T2" s="127">
        <f t="shared" ref="T2:T33" si="0">IFERROR(D2/S2," ")</f>
        <v>11.478260869565217</v>
      </c>
      <c r="U2" s="133">
        <f t="shared" ref="U2:U31" si="1">IFERROR(D2/E2," ")</f>
        <v>4.125</v>
      </c>
      <c r="V2" s="3"/>
      <c r="W2" s="21" t="s">
        <v>23</v>
      </c>
    </row>
    <row r="3" spans="1:23">
      <c r="B3" s="18" t="s">
        <v>24</v>
      </c>
      <c r="C3" s="4" t="s">
        <v>25</v>
      </c>
      <c r="D3" s="59">
        <v>42</v>
      </c>
      <c r="E3" s="4">
        <v>19.3</v>
      </c>
      <c r="F3" s="81" t="s">
        <v>26</v>
      </c>
      <c r="H3" s="12">
        <v>6.5</v>
      </c>
      <c r="I3" s="1"/>
      <c r="J3" s="1">
        <v>4.5</v>
      </c>
      <c r="K3" s="1">
        <v>9</v>
      </c>
      <c r="L3" s="1"/>
      <c r="M3" s="1"/>
      <c r="N3" s="1">
        <v>7.5</v>
      </c>
      <c r="O3" s="1"/>
      <c r="P3" s="1"/>
      <c r="Q3" s="1"/>
      <c r="R3" s="1"/>
      <c r="S3" s="126">
        <f>IFERROR(AVERAGE(H3:R3),0)</f>
        <v>6.875</v>
      </c>
      <c r="T3" s="127">
        <f t="shared" si="0"/>
        <v>6.1090909090909093</v>
      </c>
      <c r="U3" s="133">
        <f t="shared" si="1"/>
        <v>2.176165803108808</v>
      </c>
      <c r="V3" s="3"/>
      <c r="W3" s="20"/>
    </row>
    <row r="4" spans="1:23">
      <c r="B4" s="18" t="s">
        <v>27</v>
      </c>
      <c r="C4" s="5" t="s">
        <v>25</v>
      </c>
      <c r="D4" s="60">
        <v>51</v>
      </c>
      <c r="E4" s="5">
        <v>19.600000000000001</v>
      </c>
      <c r="F4" s="81" t="s">
        <v>28</v>
      </c>
      <c r="H4" s="12">
        <v>3.5</v>
      </c>
      <c r="I4" s="1"/>
      <c r="J4" s="1">
        <v>3</v>
      </c>
      <c r="K4" s="1"/>
      <c r="L4" s="1"/>
      <c r="M4" s="1"/>
      <c r="N4" s="1"/>
      <c r="O4" s="1"/>
      <c r="P4" s="1"/>
      <c r="Q4" s="1">
        <v>5</v>
      </c>
      <c r="R4" s="1"/>
      <c r="S4" s="126">
        <f t="shared" ref="S4:S67" si="2">IFERROR(AVERAGE(H4:R4),0)</f>
        <v>3.8333333333333335</v>
      </c>
      <c r="T4" s="127">
        <f t="shared" si="0"/>
        <v>13.304347826086955</v>
      </c>
      <c r="U4" s="133">
        <f t="shared" si="1"/>
        <v>2.6020408163265305</v>
      </c>
      <c r="V4" s="3"/>
      <c r="W4" s="20"/>
    </row>
    <row r="5" spans="1:23">
      <c r="B5" s="18" t="s">
        <v>29</v>
      </c>
      <c r="C5" s="4" t="s">
        <v>30</v>
      </c>
      <c r="D5" s="59">
        <v>38</v>
      </c>
      <c r="E5" s="4">
        <v>20</v>
      </c>
      <c r="F5" s="81" t="s">
        <v>22</v>
      </c>
      <c r="H5" s="12">
        <v>6</v>
      </c>
      <c r="I5" s="1"/>
      <c r="J5" s="1">
        <v>5.5</v>
      </c>
      <c r="K5" s="1"/>
      <c r="L5" s="1"/>
      <c r="M5" s="1"/>
      <c r="N5" s="1"/>
      <c r="O5" s="1"/>
      <c r="P5" s="1"/>
      <c r="Q5" s="1"/>
      <c r="R5" s="1"/>
      <c r="S5" s="126">
        <f t="shared" si="2"/>
        <v>5.75</v>
      </c>
      <c r="T5" s="127">
        <f t="shared" si="0"/>
        <v>6.6086956521739131</v>
      </c>
      <c r="U5" s="133">
        <f t="shared" si="1"/>
        <v>1.9</v>
      </c>
      <c r="V5" s="3"/>
      <c r="W5" s="20"/>
    </row>
    <row r="6" spans="1:23">
      <c r="A6" s="10"/>
      <c r="B6" s="31" t="s">
        <v>31</v>
      </c>
      <c r="C6" s="32" t="s">
        <v>32</v>
      </c>
      <c r="D6" s="61">
        <v>20</v>
      </c>
      <c r="E6" s="33">
        <v>8.6</v>
      </c>
      <c r="F6" s="82" t="s">
        <v>22</v>
      </c>
      <c r="H6" s="12">
        <v>5</v>
      </c>
      <c r="I6" s="1"/>
      <c r="J6" s="1">
        <v>5.2</v>
      </c>
      <c r="K6" s="1">
        <v>4</v>
      </c>
      <c r="L6" s="1"/>
      <c r="M6" s="1"/>
      <c r="N6" s="1">
        <v>6</v>
      </c>
      <c r="O6" s="1"/>
      <c r="P6" s="1"/>
      <c r="Q6" s="1">
        <v>5</v>
      </c>
      <c r="R6" s="1"/>
      <c r="S6" s="126">
        <f t="shared" si="2"/>
        <v>5.04</v>
      </c>
      <c r="T6" s="127">
        <f t="shared" si="0"/>
        <v>3.9682539682539684</v>
      </c>
      <c r="U6" s="133">
        <f t="shared" si="1"/>
        <v>2.3255813953488373</v>
      </c>
      <c r="V6" s="3"/>
      <c r="W6" s="20"/>
    </row>
    <row r="7" spans="1:23" ht="15" customHeight="1">
      <c r="A7" s="94" t="s">
        <v>33</v>
      </c>
      <c r="B7" s="29" t="s">
        <v>34</v>
      </c>
      <c r="C7" s="30" t="s">
        <v>35</v>
      </c>
      <c r="D7" s="62">
        <v>85</v>
      </c>
      <c r="E7" s="30">
        <v>18</v>
      </c>
      <c r="F7" s="83" t="s">
        <v>36</v>
      </c>
      <c r="H7" s="12">
        <v>9</v>
      </c>
      <c r="I7" s="1"/>
      <c r="J7" s="1">
        <v>8</v>
      </c>
      <c r="K7" s="1">
        <v>9</v>
      </c>
      <c r="L7" s="1"/>
      <c r="M7" s="1"/>
      <c r="N7" s="1">
        <v>9</v>
      </c>
      <c r="O7" s="1"/>
      <c r="P7" s="1"/>
      <c r="Q7" s="1">
        <v>8</v>
      </c>
      <c r="R7" s="1"/>
      <c r="S7" s="126">
        <f t="shared" si="2"/>
        <v>8.6</v>
      </c>
      <c r="T7" s="127">
        <f t="shared" si="0"/>
        <v>9.8837209302325579</v>
      </c>
      <c r="U7" s="133">
        <f t="shared" si="1"/>
        <v>4.7222222222222223</v>
      </c>
      <c r="V7" s="3"/>
      <c r="W7" s="20"/>
    </row>
    <row r="8" spans="1:23">
      <c r="A8" s="19"/>
      <c r="B8" s="12" t="s">
        <v>37</v>
      </c>
      <c r="C8" s="1" t="s">
        <v>38</v>
      </c>
      <c r="D8" s="63">
        <v>65</v>
      </c>
      <c r="E8" s="1">
        <v>22</v>
      </c>
      <c r="F8" s="81" t="s">
        <v>14</v>
      </c>
      <c r="H8" s="12">
        <v>8</v>
      </c>
      <c r="I8" s="1"/>
      <c r="J8" s="1"/>
      <c r="K8" s="1">
        <v>8</v>
      </c>
      <c r="L8" s="1"/>
      <c r="M8" s="1"/>
      <c r="N8" s="1">
        <v>8</v>
      </c>
      <c r="O8" s="1"/>
      <c r="P8" s="1"/>
      <c r="Q8" s="1">
        <v>8</v>
      </c>
      <c r="R8" s="1"/>
      <c r="S8" s="126">
        <f t="shared" si="2"/>
        <v>8</v>
      </c>
      <c r="T8" s="127">
        <f t="shared" si="0"/>
        <v>8.125</v>
      </c>
      <c r="U8" s="133">
        <f t="shared" si="1"/>
        <v>2.9545454545454546</v>
      </c>
      <c r="V8" s="3"/>
      <c r="W8" s="20"/>
    </row>
    <row r="9" spans="1:23">
      <c r="A9" s="19"/>
      <c r="B9" s="12" t="s">
        <v>39</v>
      </c>
      <c r="C9" s="1" t="s">
        <v>40</v>
      </c>
      <c r="D9" s="63">
        <v>54</v>
      </c>
      <c r="E9" s="1">
        <v>19.399999999999999</v>
      </c>
      <c r="F9" s="81" t="s">
        <v>22</v>
      </c>
      <c r="H9" s="12">
        <v>0.1</v>
      </c>
      <c r="I9" s="1"/>
      <c r="J9" s="1">
        <v>2</v>
      </c>
      <c r="K9" s="1">
        <v>3</v>
      </c>
      <c r="L9" s="1"/>
      <c r="M9" s="1"/>
      <c r="N9" s="1">
        <v>2</v>
      </c>
      <c r="O9" s="1"/>
      <c r="P9" s="1"/>
      <c r="Q9" s="1">
        <v>4</v>
      </c>
      <c r="R9" s="1"/>
      <c r="S9" s="126">
        <f t="shared" si="2"/>
        <v>2.2199999999999998</v>
      </c>
      <c r="T9" s="127">
        <f t="shared" si="0"/>
        <v>24.324324324324326</v>
      </c>
      <c r="U9" s="133">
        <f t="shared" si="1"/>
        <v>2.7835051546391756</v>
      </c>
      <c r="V9" s="3"/>
      <c r="W9" s="20" t="s">
        <v>41</v>
      </c>
    </row>
    <row r="10" spans="1:23">
      <c r="A10" s="19"/>
      <c r="B10" s="12" t="s">
        <v>42</v>
      </c>
      <c r="C10" s="1" t="s">
        <v>38</v>
      </c>
      <c r="D10" s="63">
        <v>62</v>
      </c>
      <c r="E10" s="1">
        <v>22</v>
      </c>
      <c r="F10" s="81" t="s">
        <v>43</v>
      </c>
      <c r="H10" s="12">
        <v>7.5</v>
      </c>
      <c r="I10" s="1"/>
      <c r="J10" s="1">
        <v>6.5</v>
      </c>
      <c r="K10" s="1">
        <v>6</v>
      </c>
      <c r="L10" s="1"/>
      <c r="M10" s="1"/>
      <c r="N10" s="1">
        <v>8</v>
      </c>
      <c r="O10" s="1"/>
      <c r="P10" s="1"/>
      <c r="Q10" s="1">
        <v>7.5</v>
      </c>
      <c r="R10" s="1"/>
      <c r="S10" s="126">
        <f t="shared" si="2"/>
        <v>7.1</v>
      </c>
      <c r="T10" s="127">
        <f t="shared" si="0"/>
        <v>8.7323943661971839</v>
      </c>
      <c r="U10" s="133">
        <f t="shared" si="1"/>
        <v>2.8181818181818183</v>
      </c>
      <c r="V10" s="3"/>
      <c r="W10" s="20"/>
    </row>
    <row r="11" spans="1:23">
      <c r="A11" s="19"/>
      <c r="B11" s="12" t="s">
        <v>44</v>
      </c>
      <c r="C11" s="1" t="s">
        <v>45</v>
      </c>
      <c r="D11" s="63">
        <v>84</v>
      </c>
      <c r="E11" s="1">
        <v>25</v>
      </c>
      <c r="F11" s="81" t="s">
        <v>46</v>
      </c>
      <c r="H11" s="12">
        <v>4</v>
      </c>
      <c r="I11" s="1"/>
      <c r="J11" s="1">
        <v>4</v>
      </c>
      <c r="K11" s="1">
        <v>4</v>
      </c>
      <c r="L11" s="1"/>
      <c r="M11" s="1"/>
      <c r="N11" s="1">
        <v>4</v>
      </c>
      <c r="O11" s="1"/>
      <c r="P11" s="1"/>
      <c r="Q11" s="1">
        <v>5</v>
      </c>
      <c r="R11" s="1"/>
      <c r="S11" s="126">
        <f t="shared" si="2"/>
        <v>4.2</v>
      </c>
      <c r="T11" s="127">
        <f t="shared" si="0"/>
        <v>20</v>
      </c>
      <c r="U11" s="133">
        <f t="shared" si="1"/>
        <v>3.36</v>
      </c>
      <c r="V11" s="3"/>
      <c r="W11" s="20" t="s">
        <v>47</v>
      </c>
    </row>
    <row r="12" spans="1:23">
      <c r="A12" s="19"/>
      <c r="B12" s="12" t="s">
        <v>48</v>
      </c>
      <c r="C12" s="1" t="s">
        <v>49</v>
      </c>
      <c r="D12" s="63">
        <v>59</v>
      </c>
      <c r="E12" s="1">
        <v>22.1</v>
      </c>
      <c r="F12" s="81" t="s">
        <v>22</v>
      </c>
      <c r="H12" s="12"/>
      <c r="I12" s="1"/>
      <c r="J12" s="1">
        <v>7</v>
      </c>
      <c r="K12" s="1"/>
      <c r="L12" s="1"/>
      <c r="M12" s="1"/>
      <c r="N12" s="1"/>
      <c r="O12" s="1"/>
      <c r="P12" s="1"/>
      <c r="Q12" s="1">
        <v>7.5</v>
      </c>
      <c r="R12" s="1"/>
      <c r="S12" s="126">
        <f t="shared" si="2"/>
        <v>7.25</v>
      </c>
      <c r="T12" s="127">
        <f t="shared" si="0"/>
        <v>8.137931034482758</v>
      </c>
      <c r="U12" s="133">
        <f t="shared" si="1"/>
        <v>2.6696832579185519</v>
      </c>
      <c r="V12" s="3"/>
      <c r="W12" s="20"/>
    </row>
    <row r="13" spans="1:23">
      <c r="B13" s="12" t="s">
        <v>50</v>
      </c>
      <c r="C13" s="1" t="s">
        <v>51</v>
      </c>
      <c r="D13" s="63">
        <v>72</v>
      </c>
      <c r="E13" s="1">
        <v>22</v>
      </c>
      <c r="F13" s="81" t="s">
        <v>22</v>
      </c>
      <c r="H13" s="12"/>
      <c r="I13" s="1"/>
      <c r="J13" s="1">
        <v>5.5</v>
      </c>
      <c r="K13" s="1"/>
      <c r="L13" s="1"/>
      <c r="M13" s="1"/>
      <c r="N13" s="1"/>
      <c r="O13" s="1"/>
      <c r="P13" s="1"/>
      <c r="Q13" s="1">
        <v>6</v>
      </c>
      <c r="R13" s="1"/>
      <c r="S13" s="126">
        <f t="shared" si="2"/>
        <v>5.75</v>
      </c>
      <c r="T13" s="127">
        <f t="shared" si="0"/>
        <v>12.521739130434783</v>
      </c>
      <c r="U13" s="133">
        <f t="shared" si="1"/>
        <v>3.2727272727272729</v>
      </c>
      <c r="V13" s="3"/>
      <c r="W13" s="20"/>
    </row>
    <row r="14" spans="1:23">
      <c r="A14" s="19"/>
      <c r="B14" s="12" t="s">
        <v>52</v>
      </c>
      <c r="C14" s="1" t="s">
        <v>38</v>
      </c>
      <c r="D14" s="63">
        <v>65</v>
      </c>
      <c r="E14" s="1">
        <v>22</v>
      </c>
      <c r="F14" s="81" t="s">
        <v>14</v>
      </c>
      <c r="H14" s="12"/>
      <c r="I14" s="1"/>
      <c r="J14" s="1">
        <v>6</v>
      </c>
      <c r="K14" s="1"/>
      <c r="L14" s="1"/>
      <c r="M14" s="1"/>
      <c r="N14" s="1">
        <v>7</v>
      </c>
      <c r="O14" s="1"/>
      <c r="P14" s="1"/>
      <c r="Q14" s="1">
        <v>8</v>
      </c>
      <c r="R14" s="1"/>
      <c r="S14" s="126">
        <f t="shared" si="2"/>
        <v>7</v>
      </c>
      <c r="T14" s="127">
        <f t="shared" si="0"/>
        <v>9.2857142857142865</v>
      </c>
      <c r="U14" s="133">
        <f t="shared" si="1"/>
        <v>2.9545454545454546</v>
      </c>
      <c r="V14" s="3"/>
      <c r="W14" s="20"/>
    </row>
    <row r="15" spans="1:23">
      <c r="A15" s="19"/>
      <c r="B15" s="12" t="s">
        <v>53</v>
      </c>
      <c r="C15" s="1" t="s">
        <v>54</v>
      </c>
      <c r="D15" s="63">
        <v>85</v>
      </c>
      <c r="E15" s="1">
        <v>23.7</v>
      </c>
      <c r="F15" s="81" t="s">
        <v>26</v>
      </c>
      <c r="H15" s="12"/>
      <c r="I15" s="1"/>
      <c r="J15" s="1">
        <v>6.25</v>
      </c>
      <c r="K15" s="1">
        <v>8</v>
      </c>
      <c r="L15" s="1"/>
      <c r="M15" s="1"/>
      <c r="N15" s="1">
        <v>7.9</v>
      </c>
      <c r="O15" s="1"/>
      <c r="P15" s="1"/>
      <c r="Q15" s="1">
        <v>6</v>
      </c>
      <c r="R15" s="1"/>
      <c r="S15" s="126">
        <f t="shared" si="2"/>
        <v>7.0374999999999996</v>
      </c>
      <c r="T15" s="127">
        <f t="shared" si="0"/>
        <v>12.078152753108348</v>
      </c>
      <c r="U15" s="133">
        <f t="shared" si="1"/>
        <v>3.5864978902953588</v>
      </c>
      <c r="V15" s="3"/>
      <c r="W15" s="20" t="s">
        <v>55</v>
      </c>
    </row>
    <row r="16" spans="1:23">
      <c r="B16" s="12" t="s">
        <v>56</v>
      </c>
      <c r="C16" s="1" t="s">
        <v>38</v>
      </c>
      <c r="D16" s="63">
        <v>62</v>
      </c>
      <c r="E16" s="1">
        <v>22</v>
      </c>
      <c r="F16" s="81" t="s">
        <v>36</v>
      </c>
      <c r="H16" s="12">
        <v>6.5</v>
      </c>
      <c r="I16" s="1"/>
      <c r="J16" s="1">
        <v>6.5</v>
      </c>
      <c r="K16" s="1">
        <v>7</v>
      </c>
      <c r="L16" s="1"/>
      <c r="M16" s="1"/>
      <c r="N16" s="1">
        <v>6.75</v>
      </c>
      <c r="O16" s="1"/>
      <c r="P16" s="1"/>
      <c r="Q16" s="1">
        <v>6.5</v>
      </c>
      <c r="R16" s="1"/>
      <c r="S16" s="126">
        <f t="shared" si="2"/>
        <v>6.65</v>
      </c>
      <c r="T16" s="127">
        <f t="shared" si="0"/>
        <v>9.3233082706766908</v>
      </c>
      <c r="U16" s="133">
        <f t="shared" si="1"/>
        <v>2.8181818181818183</v>
      </c>
      <c r="V16" s="3"/>
      <c r="W16" s="20" t="s">
        <v>57</v>
      </c>
    </row>
    <row r="17" spans="1:23">
      <c r="B17" s="12" t="s">
        <v>58</v>
      </c>
      <c r="C17" s="1" t="s">
        <v>54</v>
      </c>
      <c r="D17" s="63">
        <v>48</v>
      </c>
      <c r="E17" s="1">
        <v>19</v>
      </c>
      <c r="F17" s="81" t="s">
        <v>43</v>
      </c>
      <c r="H17" s="12">
        <v>6.5</v>
      </c>
      <c r="I17" s="1"/>
      <c r="J17" s="1">
        <v>6.75</v>
      </c>
      <c r="K17" s="1">
        <v>7</v>
      </c>
      <c r="L17" s="1"/>
      <c r="M17" s="1"/>
      <c r="N17" s="1">
        <v>7</v>
      </c>
      <c r="O17" s="1"/>
      <c r="P17" s="1"/>
      <c r="Q17" s="1">
        <v>7</v>
      </c>
      <c r="R17" s="1"/>
      <c r="S17" s="126">
        <f t="shared" si="2"/>
        <v>6.85</v>
      </c>
      <c r="T17" s="127">
        <f t="shared" si="0"/>
        <v>7.007299270072993</v>
      </c>
      <c r="U17" s="133">
        <f t="shared" si="1"/>
        <v>2.5263157894736841</v>
      </c>
      <c r="V17" s="3"/>
      <c r="W17" s="20" t="s">
        <v>59</v>
      </c>
    </row>
    <row r="18" spans="1:23">
      <c r="B18" s="12" t="s">
        <v>60</v>
      </c>
      <c r="C18" s="1" t="s">
        <v>61</v>
      </c>
      <c r="D18" s="63">
        <v>65</v>
      </c>
      <c r="E18" s="1">
        <v>16</v>
      </c>
      <c r="F18" s="81" t="s">
        <v>36</v>
      </c>
      <c r="H18" s="12">
        <v>6.5</v>
      </c>
      <c r="I18" s="1"/>
      <c r="J18" s="1">
        <v>6.5</v>
      </c>
      <c r="K18" s="1"/>
      <c r="L18" s="1"/>
      <c r="M18" s="1"/>
      <c r="N18" s="1">
        <v>7</v>
      </c>
      <c r="O18" s="1"/>
      <c r="P18" s="1"/>
      <c r="Q18" s="1"/>
      <c r="R18" s="1"/>
      <c r="S18" s="126">
        <f t="shared" si="2"/>
        <v>6.666666666666667</v>
      </c>
      <c r="T18" s="127">
        <f t="shared" si="0"/>
        <v>9.75</v>
      </c>
      <c r="U18" s="133">
        <f t="shared" si="1"/>
        <v>4.0625</v>
      </c>
      <c r="V18" s="3"/>
      <c r="W18" s="20"/>
    </row>
    <row r="19" spans="1:23">
      <c r="B19" s="12" t="s">
        <v>62</v>
      </c>
      <c r="C19" s="1" t="s">
        <v>54</v>
      </c>
      <c r="D19" s="63">
        <v>107</v>
      </c>
      <c r="E19" s="1">
        <v>22</v>
      </c>
      <c r="F19" s="81" t="s">
        <v>36</v>
      </c>
      <c r="H19" s="12">
        <v>8</v>
      </c>
      <c r="I19" s="1"/>
      <c r="J19" s="1">
        <v>7.25</v>
      </c>
      <c r="K19" s="1"/>
      <c r="L19" s="1"/>
      <c r="M19" s="1"/>
      <c r="N19" s="1">
        <v>7.6</v>
      </c>
      <c r="O19" s="1"/>
      <c r="P19" s="1"/>
      <c r="Q19" s="1">
        <v>8</v>
      </c>
      <c r="R19" s="1"/>
      <c r="S19" s="126">
        <f t="shared" si="2"/>
        <v>7.7125000000000004</v>
      </c>
      <c r="T19" s="127">
        <f t="shared" si="0"/>
        <v>13.873581847649918</v>
      </c>
      <c r="U19" s="133">
        <f t="shared" si="1"/>
        <v>4.8636363636363633</v>
      </c>
      <c r="V19" s="3"/>
      <c r="W19" s="20"/>
    </row>
    <row r="20" spans="1:23">
      <c r="B20" s="12" t="s">
        <v>63</v>
      </c>
      <c r="C20" s="1" t="s">
        <v>54</v>
      </c>
      <c r="D20" s="63">
        <v>79.989999999999995</v>
      </c>
      <c r="E20" s="1">
        <v>22</v>
      </c>
      <c r="F20" s="187" t="s">
        <v>28</v>
      </c>
      <c r="H20" s="12">
        <v>8</v>
      </c>
      <c r="I20" s="1"/>
      <c r="J20" s="1">
        <v>8</v>
      </c>
      <c r="K20" s="1">
        <v>7.5</v>
      </c>
      <c r="L20" s="1"/>
      <c r="M20" s="1"/>
      <c r="N20" s="1">
        <v>7.4</v>
      </c>
      <c r="O20" s="1"/>
      <c r="P20" s="1"/>
      <c r="Q20" s="1"/>
      <c r="R20" s="1"/>
      <c r="S20" s="126">
        <f t="shared" si="2"/>
        <v>7.7249999999999996</v>
      </c>
      <c r="T20" s="127">
        <f t="shared" si="0"/>
        <v>10.354692556634305</v>
      </c>
      <c r="U20" s="133">
        <f t="shared" si="1"/>
        <v>3.6359090909090908</v>
      </c>
      <c r="V20" s="3"/>
      <c r="W20" s="20" t="s">
        <v>64</v>
      </c>
    </row>
    <row r="21" spans="1:23">
      <c r="B21" s="12" t="s">
        <v>65</v>
      </c>
      <c r="C21" s="1" t="s">
        <v>54</v>
      </c>
      <c r="D21" s="63">
        <v>66.989999999999995</v>
      </c>
      <c r="E21" s="1">
        <v>22</v>
      </c>
      <c r="F21" s="81" t="s">
        <v>22</v>
      </c>
      <c r="H21" s="12">
        <v>7.49</v>
      </c>
      <c r="I21" s="1"/>
      <c r="J21" s="1">
        <v>7</v>
      </c>
      <c r="K21" s="1">
        <v>6.9</v>
      </c>
      <c r="L21" s="1"/>
      <c r="M21" s="1"/>
      <c r="N21" s="1">
        <v>8.4499999999999993</v>
      </c>
      <c r="O21" s="1"/>
      <c r="P21" s="1"/>
      <c r="Q21" s="1">
        <v>7</v>
      </c>
      <c r="R21" s="1"/>
      <c r="S21" s="126">
        <f t="shared" si="2"/>
        <v>7.3680000000000003</v>
      </c>
      <c r="T21" s="127">
        <f t="shared" si="0"/>
        <v>9.0920195439739402</v>
      </c>
      <c r="U21" s="133">
        <f t="shared" si="1"/>
        <v>3.0449999999999999</v>
      </c>
      <c r="V21" s="3"/>
      <c r="W21" s="20" t="s">
        <v>66</v>
      </c>
    </row>
    <row r="22" spans="1:23">
      <c r="B22" s="12" t="s">
        <v>67</v>
      </c>
      <c r="C22" s="1" t="s">
        <v>54</v>
      </c>
      <c r="D22" s="63">
        <v>66.989999999999995</v>
      </c>
      <c r="E22" s="1">
        <v>22</v>
      </c>
      <c r="F22" s="81" t="s">
        <v>36</v>
      </c>
      <c r="H22" s="12">
        <v>5.7</v>
      </c>
      <c r="I22" s="1"/>
      <c r="J22" s="1">
        <v>6</v>
      </c>
      <c r="K22" s="1">
        <v>6.6</v>
      </c>
      <c r="L22" s="1"/>
      <c r="M22" s="1"/>
      <c r="N22" s="1">
        <v>6.75</v>
      </c>
      <c r="O22" s="1"/>
      <c r="P22" s="1"/>
      <c r="Q22" s="1"/>
      <c r="R22" s="1"/>
      <c r="S22" s="126">
        <f t="shared" si="2"/>
        <v>6.2624999999999993</v>
      </c>
      <c r="T22" s="127">
        <f t="shared" si="0"/>
        <v>10.697005988023953</v>
      </c>
      <c r="U22" s="133">
        <f t="shared" si="1"/>
        <v>3.0449999999999999</v>
      </c>
      <c r="V22" s="3"/>
      <c r="W22" s="20" t="s">
        <v>68</v>
      </c>
    </row>
    <row r="23" spans="1:23">
      <c r="B23" s="12" t="s">
        <v>69</v>
      </c>
      <c r="C23" s="1" t="s">
        <v>54</v>
      </c>
      <c r="D23" s="63">
        <v>46.99</v>
      </c>
      <c r="E23" s="1">
        <v>15</v>
      </c>
      <c r="F23" s="81" t="s">
        <v>36</v>
      </c>
      <c r="H23" s="12">
        <v>5.5</v>
      </c>
      <c r="I23" s="1"/>
      <c r="J23" s="1">
        <v>4</v>
      </c>
      <c r="K23" s="1"/>
      <c r="L23" s="1"/>
      <c r="M23" s="1"/>
      <c r="N23" s="1"/>
      <c r="O23" s="1"/>
      <c r="P23" s="1"/>
      <c r="Q23" s="1"/>
      <c r="R23" s="1"/>
      <c r="S23" s="126">
        <f t="shared" si="2"/>
        <v>4.75</v>
      </c>
      <c r="T23" s="127">
        <f t="shared" si="0"/>
        <v>9.892631578947368</v>
      </c>
      <c r="U23" s="133">
        <f t="shared" si="1"/>
        <v>3.1326666666666667</v>
      </c>
      <c r="V23" s="3"/>
      <c r="W23" s="20"/>
    </row>
    <row r="24" spans="1:23">
      <c r="B24" s="25" t="s">
        <v>70</v>
      </c>
      <c r="C24" s="1" t="s">
        <v>71</v>
      </c>
      <c r="D24" s="63">
        <v>73.989999999999995</v>
      </c>
      <c r="E24" s="1">
        <v>31.2</v>
      </c>
      <c r="F24" s="81" t="s">
        <v>36</v>
      </c>
      <c r="H24" s="12">
        <v>6.5</v>
      </c>
      <c r="I24" s="1"/>
      <c r="J24" s="1">
        <v>6.5</v>
      </c>
      <c r="K24" s="1"/>
      <c r="L24" s="1"/>
      <c r="M24" s="1"/>
      <c r="N24" s="1">
        <v>6</v>
      </c>
      <c r="O24" s="1"/>
      <c r="P24" s="1"/>
      <c r="Q24" s="1"/>
      <c r="R24" s="1"/>
      <c r="S24" s="126">
        <f t="shared" si="2"/>
        <v>6.333333333333333</v>
      </c>
      <c r="T24" s="127">
        <f t="shared" si="0"/>
        <v>11.682631578947369</v>
      </c>
      <c r="U24" s="133">
        <f t="shared" si="1"/>
        <v>2.3714743589743588</v>
      </c>
      <c r="V24" s="3"/>
      <c r="W24" s="20"/>
    </row>
    <row r="25" spans="1:23" ht="15" customHeight="1">
      <c r="A25" s="182" t="s">
        <v>72</v>
      </c>
      <c r="B25" s="12" t="s">
        <v>73</v>
      </c>
      <c r="C25" s="34" t="s">
        <v>38</v>
      </c>
      <c r="D25" s="63">
        <v>69.900000000000006</v>
      </c>
      <c r="E25" s="1">
        <v>22</v>
      </c>
      <c r="F25" s="81" t="s">
        <v>26</v>
      </c>
      <c r="H25" s="12">
        <v>7.5</v>
      </c>
      <c r="I25" s="1"/>
      <c r="J25" s="1">
        <v>6.75</v>
      </c>
      <c r="K25" s="1">
        <v>7.5</v>
      </c>
      <c r="L25" s="1"/>
      <c r="M25" s="1"/>
      <c r="N25" s="1">
        <v>8</v>
      </c>
      <c r="O25" s="1"/>
      <c r="P25" s="1"/>
      <c r="Q25" s="1">
        <v>8</v>
      </c>
      <c r="R25" s="1"/>
      <c r="S25" s="126">
        <f t="shared" si="2"/>
        <v>7.55</v>
      </c>
      <c r="T25" s="127">
        <f t="shared" si="0"/>
        <v>9.2582781456953658</v>
      </c>
      <c r="U25" s="133">
        <f t="shared" si="1"/>
        <v>3.1772727272727277</v>
      </c>
      <c r="W25" s="20" t="s">
        <v>74</v>
      </c>
    </row>
    <row r="26" spans="1:23">
      <c r="A26" s="183"/>
      <c r="B26" s="12" t="s">
        <v>75</v>
      </c>
      <c r="C26" s="34" t="s">
        <v>38</v>
      </c>
      <c r="D26" s="63">
        <v>84</v>
      </c>
      <c r="E26" s="1">
        <v>22</v>
      </c>
      <c r="F26" s="81" t="s">
        <v>14</v>
      </c>
      <c r="H26" s="12">
        <v>7</v>
      </c>
      <c r="I26" s="1"/>
      <c r="J26" s="1">
        <v>7</v>
      </c>
      <c r="K26" s="1">
        <v>6.5</v>
      </c>
      <c r="L26" s="1"/>
      <c r="M26" s="1"/>
      <c r="N26" s="1">
        <v>7.2640000000000002</v>
      </c>
      <c r="O26" s="1"/>
      <c r="P26" s="1"/>
      <c r="Q26" s="1">
        <v>7</v>
      </c>
      <c r="R26" s="1"/>
      <c r="S26" s="126">
        <f t="shared" si="2"/>
        <v>6.952799999999999</v>
      </c>
      <c r="T26" s="127">
        <f t="shared" si="0"/>
        <v>12.081463583016916</v>
      </c>
      <c r="U26" s="133">
        <f t="shared" si="1"/>
        <v>3.8181818181818183</v>
      </c>
      <c r="W26" s="20" t="s">
        <v>76</v>
      </c>
    </row>
    <row r="27" spans="1:23">
      <c r="A27" s="183"/>
      <c r="B27" s="12" t="s">
        <v>77</v>
      </c>
      <c r="C27" s="34" t="s">
        <v>38</v>
      </c>
      <c r="D27" s="63">
        <v>63.99</v>
      </c>
      <c r="E27" s="1">
        <v>22</v>
      </c>
      <c r="F27" s="81" t="s">
        <v>43</v>
      </c>
      <c r="H27" s="12">
        <v>6</v>
      </c>
      <c r="I27" s="1"/>
      <c r="J27" s="1">
        <v>6</v>
      </c>
      <c r="K27" s="1">
        <v>6.5</v>
      </c>
      <c r="L27" s="1"/>
      <c r="M27" s="1"/>
      <c r="N27" s="1">
        <v>6.5</v>
      </c>
      <c r="O27" s="1"/>
      <c r="P27" s="1"/>
      <c r="Q27" s="1">
        <v>7</v>
      </c>
      <c r="R27" s="1"/>
      <c r="S27" s="126">
        <f t="shared" si="2"/>
        <v>6.4</v>
      </c>
      <c r="T27" s="127">
        <f t="shared" si="0"/>
        <v>9.9984374999999996</v>
      </c>
      <c r="U27" s="133">
        <f t="shared" si="1"/>
        <v>2.9086363636363637</v>
      </c>
      <c r="W27" s="20"/>
    </row>
    <row r="28" spans="1:23">
      <c r="A28" s="183"/>
      <c r="B28" s="12" t="s">
        <v>78</v>
      </c>
      <c r="C28" s="34" t="s">
        <v>30</v>
      </c>
      <c r="D28" s="63">
        <v>115</v>
      </c>
      <c r="E28" s="1">
        <v>22</v>
      </c>
      <c r="F28" s="81" t="s">
        <v>36</v>
      </c>
      <c r="H28" s="12">
        <v>6</v>
      </c>
      <c r="I28" s="1"/>
      <c r="J28" s="1">
        <v>5</v>
      </c>
      <c r="K28" s="1">
        <v>5.5</v>
      </c>
      <c r="L28" s="1"/>
      <c r="M28" s="1"/>
      <c r="N28" s="1">
        <v>5.8</v>
      </c>
      <c r="O28" s="1"/>
      <c r="P28" s="1"/>
      <c r="Q28" s="1"/>
      <c r="R28" s="1"/>
      <c r="S28" s="126">
        <f t="shared" si="2"/>
        <v>5.5750000000000002</v>
      </c>
      <c r="T28" s="127">
        <f t="shared" si="0"/>
        <v>20.627802690582961</v>
      </c>
      <c r="U28" s="133">
        <f t="shared" si="1"/>
        <v>5.2272727272727275</v>
      </c>
      <c r="W28" s="20"/>
    </row>
    <row r="29" spans="1:23">
      <c r="A29" s="183"/>
      <c r="B29" s="12" t="s">
        <v>79</v>
      </c>
      <c r="C29" s="34" t="s">
        <v>80</v>
      </c>
      <c r="D29" s="63">
        <v>83</v>
      </c>
      <c r="E29" s="1">
        <v>22</v>
      </c>
      <c r="F29" s="81" t="s">
        <v>22</v>
      </c>
      <c r="H29" s="12">
        <v>7.5</v>
      </c>
      <c r="I29" s="1"/>
      <c r="J29" s="1">
        <v>7.25</v>
      </c>
      <c r="K29" s="1">
        <v>6.5</v>
      </c>
      <c r="L29" s="1"/>
      <c r="M29" s="1"/>
      <c r="N29" s="1">
        <v>6.66</v>
      </c>
      <c r="O29" s="1"/>
      <c r="P29" s="1"/>
      <c r="Q29" s="1">
        <v>6</v>
      </c>
      <c r="R29" s="1"/>
      <c r="S29" s="126">
        <f t="shared" si="2"/>
        <v>6.7819999999999991</v>
      </c>
      <c r="T29" s="127">
        <f t="shared" si="0"/>
        <v>12.238277794161016</v>
      </c>
      <c r="U29" s="133">
        <f t="shared" si="1"/>
        <v>3.7727272727272729</v>
      </c>
      <c r="W29" s="20"/>
    </row>
    <row r="30" spans="1:23">
      <c r="B30" s="35" t="s">
        <v>81</v>
      </c>
      <c r="C30" s="26" t="s">
        <v>38</v>
      </c>
      <c r="D30" s="64">
        <v>106</v>
      </c>
      <c r="E30" s="26">
        <v>22</v>
      </c>
      <c r="F30" s="81" t="s">
        <v>26</v>
      </c>
      <c r="H30" s="12">
        <v>8</v>
      </c>
      <c r="I30" s="1"/>
      <c r="J30" s="1">
        <v>7.75</v>
      </c>
      <c r="K30" s="1">
        <v>7.5</v>
      </c>
      <c r="L30" s="1"/>
      <c r="M30" s="1"/>
      <c r="N30" s="1">
        <v>7.3</v>
      </c>
      <c r="O30" s="1"/>
      <c r="P30" s="1"/>
      <c r="Q30" s="1">
        <v>8</v>
      </c>
      <c r="R30" s="1"/>
      <c r="S30" s="126">
        <f t="shared" si="2"/>
        <v>7.7099999999999991</v>
      </c>
      <c r="T30" s="127">
        <f t="shared" si="0"/>
        <v>13.748378728923477</v>
      </c>
      <c r="U30" s="133">
        <f t="shared" si="1"/>
        <v>4.8181818181818183</v>
      </c>
      <c r="W30" s="28"/>
    </row>
    <row r="31" spans="1:23">
      <c r="B31" s="25" t="s">
        <v>82</v>
      </c>
      <c r="C31" s="26" t="s">
        <v>38</v>
      </c>
      <c r="D31" s="64">
        <v>59.99</v>
      </c>
      <c r="E31" s="26">
        <v>22</v>
      </c>
      <c r="F31" s="81" t="s">
        <v>14</v>
      </c>
      <c r="H31" s="12">
        <v>5</v>
      </c>
      <c r="I31" s="1"/>
      <c r="J31" s="1">
        <v>5</v>
      </c>
      <c r="K31" s="1"/>
      <c r="L31" s="1"/>
      <c r="M31" s="1"/>
      <c r="N31" s="1">
        <v>6.8</v>
      </c>
      <c r="O31" s="1"/>
      <c r="P31" s="1"/>
      <c r="Q31" s="1">
        <v>7</v>
      </c>
      <c r="R31" s="1"/>
      <c r="S31" s="126">
        <f t="shared" si="2"/>
        <v>5.95</v>
      </c>
      <c r="T31" s="127">
        <f t="shared" si="0"/>
        <v>10.08235294117647</v>
      </c>
      <c r="U31" s="133">
        <f t="shared" si="1"/>
        <v>2.726818181818182</v>
      </c>
      <c r="W31" s="28"/>
    </row>
    <row r="32" spans="1:23">
      <c r="B32" s="25" t="s">
        <v>83</v>
      </c>
      <c r="C32" s="26" t="s">
        <v>38</v>
      </c>
      <c r="D32" s="64">
        <v>63.99</v>
      </c>
      <c r="E32" s="26">
        <v>22</v>
      </c>
      <c r="F32" s="81" t="s">
        <v>46</v>
      </c>
      <c r="H32" s="12"/>
      <c r="I32" s="1">
        <v>7.8</v>
      </c>
      <c r="J32" s="1"/>
      <c r="K32" s="1">
        <v>7.8</v>
      </c>
      <c r="L32" s="1"/>
      <c r="M32" s="1"/>
      <c r="N32" s="1">
        <v>7.6824000000000003</v>
      </c>
      <c r="O32" s="1"/>
      <c r="P32" s="1"/>
      <c r="Q32" s="1"/>
      <c r="R32" s="1"/>
      <c r="S32" s="126">
        <f t="shared" si="2"/>
        <v>7.7607999999999997</v>
      </c>
      <c r="T32" s="127">
        <f t="shared" si="0"/>
        <v>8.2452839913410987</v>
      </c>
      <c r="U32" s="133">
        <f>IFERROR(D34/E34," ")</f>
        <v>5.2272727272727275</v>
      </c>
      <c r="W32" s="28"/>
    </row>
    <row r="33" spans="2:23">
      <c r="B33" s="25" t="s">
        <v>84</v>
      </c>
      <c r="C33" s="26" t="s">
        <v>35</v>
      </c>
      <c r="D33" s="64">
        <v>74.900000000000006</v>
      </c>
      <c r="E33" s="26">
        <v>22</v>
      </c>
      <c r="F33" s="81" t="s">
        <v>43</v>
      </c>
      <c r="H33" s="12">
        <v>8.5</v>
      </c>
      <c r="I33" s="1"/>
      <c r="J33" s="1">
        <v>9</v>
      </c>
      <c r="K33" s="1">
        <v>8.3000000000000007</v>
      </c>
      <c r="L33" s="1"/>
      <c r="M33" s="1"/>
      <c r="N33" s="1">
        <v>8.8000000000000007</v>
      </c>
      <c r="O33" s="1"/>
      <c r="P33" s="1"/>
      <c r="Q33" s="1"/>
      <c r="R33" s="1"/>
      <c r="S33" s="126">
        <f t="shared" si="2"/>
        <v>8.65</v>
      </c>
      <c r="T33" s="127">
        <f t="shared" si="0"/>
        <v>8.6589595375722546</v>
      </c>
      <c r="U33" s="133">
        <f t="shared" ref="U33:U69" si="3">IFERROR(D33/E33," ")</f>
        <v>3.4045454545454548</v>
      </c>
      <c r="W33" s="28" t="s">
        <v>85</v>
      </c>
    </row>
    <row r="34" spans="2:23">
      <c r="B34" s="25" t="s">
        <v>86</v>
      </c>
      <c r="C34" s="26" t="s">
        <v>54</v>
      </c>
      <c r="D34" s="64">
        <v>115</v>
      </c>
      <c r="E34" s="26">
        <v>22</v>
      </c>
      <c r="F34" s="81" t="s">
        <v>36</v>
      </c>
      <c r="H34" s="12">
        <v>7</v>
      </c>
      <c r="I34" s="1"/>
      <c r="J34" s="1">
        <v>7</v>
      </c>
      <c r="K34" s="1">
        <v>7</v>
      </c>
      <c r="L34" s="1"/>
      <c r="M34" s="1"/>
      <c r="N34" s="1"/>
      <c r="O34" s="1"/>
      <c r="P34" s="1"/>
      <c r="Q34" s="1">
        <v>6.5</v>
      </c>
      <c r="R34" s="1"/>
      <c r="S34" s="126">
        <f t="shared" si="2"/>
        <v>6.875</v>
      </c>
      <c r="T34" s="127">
        <f t="shared" ref="T34:T65" si="4">IFERROR(D34/S34," ")</f>
        <v>16.727272727272727</v>
      </c>
      <c r="U34" s="133">
        <f t="shared" si="3"/>
        <v>5.2272727272727275</v>
      </c>
      <c r="W34" s="28"/>
    </row>
    <row r="35" spans="2:23">
      <c r="B35" s="25" t="s">
        <v>87</v>
      </c>
      <c r="C35" s="26" t="s">
        <v>49</v>
      </c>
      <c r="D35" s="64">
        <v>99.99</v>
      </c>
      <c r="E35" s="26">
        <v>25.4</v>
      </c>
      <c r="F35" s="84" t="s">
        <v>22</v>
      </c>
      <c r="H35" s="12"/>
      <c r="I35" s="1"/>
      <c r="J35" s="1">
        <v>7.5</v>
      </c>
      <c r="K35" s="1">
        <v>8.3000000000000007</v>
      </c>
      <c r="L35" s="1"/>
      <c r="M35" s="1"/>
      <c r="N35" s="1">
        <v>8.843</v>
      </c>
      <c r="O35" s="1"/>
      <c r="P35" s="1"/>
      <c r="Q35" s="1">
        <v>7</v>
      </c>
      <c r="R35" s="1"/>
      <c r="S35" s="126">
        <f t="shared" si="2"/>
        <v>7.9107500000000002</v>
      </c>
      <c r="T35" s="127">
        <f t="shared" si="4"/>
        <v>12.639762348702714</v>
      </c>
      <c r="U35" s="133">
        <f t="shared" si="3"/>
        <v>3.9366141732283464</v>
      </c>
      <c r="W35" s="28"/>
    </row>
    <row r="36" spans="2:23">
      <c r="B36" s="25" t="s">
        <v>88</v>
      </c>
      <c r="C36" s="26" t="s">
        <v>49</v>
      </c>
      <c r="D36" s="64">
        <v>83</v>
      </c>
      <c r="E36" s="26">
        <v>22</v>
      </c>
      <c r="F36" s="81" t="s">
        <v>26</v>
      </c>
      <c r="H36" s="12">
        <v>7</v>
      </c>
      <c r="I36" s="1"/>
      <c r="J36" s="1">
        <v>7</v>
      </c>
      <c r="K36" s="1">
        <v>7</v>
      </c>
      <c r="L36" s="1"/>
      <c r="M36" s="1"/>
      <c r="N36" s="1">
        <v>7</v>
      </c>
      <c r="O36" s="1"/>
      <c r="P36" s="1"/>
      <c r="Q36" s="1">
        <v>6.5</v>
      </c>
      <c r="R36" s="1"/>
      <c r="S36" s="126">
        <f t="shared" si="2"/>
        <v>6.9</v>
      </c>
      <c r="T36" s="127">
        <f t="shared" si="4"/>
        <v>12.028985507246377</v>
      </c>
      <c r="U36" s="133">
        <f t="shared" si="3"/>
        <v>3.7727272727272729</v>
      </c>
      <c r="W36" s="28"/>
    </row>
    <row r="37" spans="2:23">
      <c r="B37" s="25" t="s">
        <v>89</v>
      </c>
      <c r="C37" s="26" t="s">
        <v>38</v>
      </c>
      <c r="D37" s="64">
        <v>119.95</v>
      </c>
      <c r="E37" s="26">
        <v>22</v>
      </c>
      <c r="F37" s="187" t="s">
        <v>90</v>
      </c>
      <c r="H37" s="12">
        <v>8</v>
      </c>
      <c r="I37" s="1">
        <v>8</v>
      </c>
      <c r="J37" s="1">
        <v>8</v>
      </c>
      <c r="K37" s="1">
        <v>8.5</v>
      </c>
      <c r="L37" s="1"/>
      <c r="M37" s="1"/>
      <c r="N37" s="1">
        <v>7.8</v>
      </c>
      <c r="O37" s="1"/>
      <c r="P37" s="1"/>
      <c r="Q37" s="1">
        <v>8</v>
      </c>
      <c r="R37" s="1"/>
      <c r="S37" s="126">
        <f t="shared" si="2"/>
        <v>8.0499999999999989</v>
      </c>
      <c r="T37" s="127">
        <f t="shared" si="4"/>
        <v>14.900621118012424</v>
      </c>
      <c r="U37" s="133">
        <f t="shared" si="3"/>
        <v>5.4522727272727272</v>
      </c>
      <c r="W37" s="28" t="s">
        <v>91</v>
      </c>
    </row>
    <row r="38" spans="2:23">
      <c r="B38" s="25" t="s">
        <v>92</v>
      </c>
      <c r="C38" s="26" t="s">
        <v>38</v>
      </c>
      <c r="D38" s="64">
        <v>69.900000000000006</v>
      </c>
      <c r="E38" s="26">
        <v>22</v>
      </c>
      <c r="F38" s="82" t="s">
        <v>14</v>
      </c>
      <c r="H38" s="12">
        <v>7</v>
      </c>
      <c r="I38" s="1"/>
      <c r="J38" s="1">
        <v>6</v>
      </c>
      <c r="K38" s="1"/>
      <c r="L38" s="1"/>
      <c r="M38" s="1"/>
      <c r="N38" s="1">
        <v>7.62</v>
      </c>
      <c r="O38" s="1"/>
      <c r="P38" s="1"/>
      <c r="Q38" s="1"/>
      <c r="R38" s="1"/>
      <c r="S38" s="126">
        <f t="shared" si="2"/>
        <v>6.873333333333334</v>
      </c>
      <c r="T38" s="127">
        <f t="shared" si="4"/>
        <v>10.169738118331717</v>
      </c>
      <c r="U38" s="133">
        <f t="shared" si="3"/>
        <v>3.1772727272727277</v>
      </c>
      <c r="W38" s="28"/>
    </row>
    <row r="39" spans="2:23">
      <c r="B39" s="25" t="s">
        <v>93</v>
      </c>
      <c r="C39" s="26" t="s">
        <v>94</v>
      </c>
      <c r="D39" s="64">
        <v>73.989999999999995</v>
      </c>
      <c r="E39" s="26">
        <v>22</v>
      </c>
      <c r="F39" s="81" t="s">
        <v>43</v>
      </c>
      <c r="H39" s="12">
        <v>7.5</v>
      </c>
      <c r="I39" s="1"/>
      <c r="J39" s="1">
        <v>7</v>
      </c>
      <c r="K39" s="1">
        <v>7.2</v>
      </c>
      <c r="L39" s="1"/>
      <c r="M39" s="1"/>
      <c r="N39" s="1">
        <v>7.2</v>
      </c>
      <c r="O39" s="1"/>
      <c r="P39" s="1"/>
      <c r="Q39" s="1">
        <v>8</v>
      </c>
      <c r="R39" s="1"/>
      <c r="S39" s="126">
        <f t="shared" si="2"/>
        <v>7.38</v>
      </c>
      <c r="T39" s="127">
        <f t="shared" si="4"/>
        <v>10.025745257452574</v>
      </c>
      <c r="U39" s="133">
        <f t="shared" si="3"/>
        <v>3.3631818181818178</v>
      </c>
      <c r="W39" s="28" t="s">
        <v>95</v>
      </c>
    </row>
    <row r="40" spans="2:23">
      <c r="B40" s="39" t="s">
        <v>96</v>
      </c>
      <c r="C40" s="38" t="s">
        <v>97</v>
      </c>
      <c r="D40" s="65">
        <v>65</v>
      </c>
      <c r="E40" s="38">
        <v>19</v>
      </c>
      <c r="F40" s="85" t="s">
        <v>36</v>
      </c>
      <c r="G40" s="124"/>
      <c r="H40" s="134">
        <v>6</v>
      </c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126">
        <f t="shared" si="2"/>
        <v>6</v>
      </c>
      <c r="T40" s="127">
        <f t="shared" si="4"/>
        <v>10.833333333333334</v>
      </c>
      <c r="U40" s="133">
        <f t="shared" si="3"/>
        <v>3.4210526315789473</v>
      </c>
      <c r="V40" s="40"/>
      <c r="W40" s="41" t="s">
        <v>98</v>
      </c>
    </row>
    <row r="41" spans="2:23">
      <c r="B41" s="39" t="s">
        <v>99</v>
      </c>
      <c r="C41" s="38" t="s">
        <v>49</v>
      </c>
      <c r="D41" s="65">
        <v>139</v>
      </c>
      <c r="E41" s="38">
        <v>30</v>
      </c>
      <c r="F41" s="85" t="s">
        <v>36</v>
      </c>
      <c r="G41" s="124"/>
      <c r="H41" s="134">
        <v>7.5</v>
      </c>
      <c r="I41" s="42"/>
      <c r="J41" s="42">
        <v>7.75</v>
      </c>
      <c r="K41" s="42">
        <v>7.5</v>
      </c>
      <c r="L41" s="42"/>
      <c r="M41" s="42"/>
      <c r="N41" s="42">
        <v>7.3</v>
      </c>
      <c r="O41" s="42"/>
      <c r="P41" s="42"/>
      <c r="Q41" s="42"/>
      <c r="R41" s="42"/>
      <c r="S41" s="126">
        <f t="shared" si="2"/>
        <v>7.5125000000000002</v>
      </c>
      <c r="T41" s="127">
        <f t="shared" si="4"/>
        <v>18.502495840266224</v>
      </c>
      <c r="U41" s="133">
        <f t="shared" si="3"/>
        <v>4.6333333333333337</v>
      </c>
      <c r="V41" s="40"/>
      <c r="W41" s="41" t="s">
        <v>100</v>
      </c>
    </row>
    <row r="42" spans="2:23">
      <c r="B42" s="39" t="s">
        <v>101</v>
      </c>
      <c r="C42" s="38" t="s">
        <v>51</v>
      </c>
      <c r="D42" s="65">
        <v>150</v>
      </c>
      <c r="E42" s="38">
        <v>24</v>
      </c>
      <c r="F42" s="85" t="s">
        <v>22</v>
      </c>
      <c r="G42" s="124"/>
      <c r="H42" s="134">
        <v>8.5</v>
      </c>
      <c r="I42" s="42"/>
      <c r="J42" s="42">
        <v>9</v>
      </c>
      <c r="K42" s="42">
        <v>8.4600000000000009</v>
      </c>
      <c r="L42" s="42"/>
      <c r="M42" s="42"/>
      <c r="N42" s="42">
        <v>8.32</v>
      </c>
      <c r="O42" s="42"/>
      <c r="P42" s="42"/>
      <c r="Q42" s="42"/>
      <c r="R42" s="42"/>
      <c r="S42" s="126">
        <f t="shared" si="2"/>
        <v>8.57</v>
      </c>
      <c r="T42" s="127">
        <f t="shared" si="4"/>
        <v>17.50291715285881</v>
      </c>
      <c r="U42" s="133">
        <f t="shared" si="3"/>
        <v>6.25</v>
      </c>
      <c r="V42" s="40"/>
      <c r="W42" s="41" t="s">
        <v>102</v>
      </c>
    </row>
    <row r="43" spans="2:23">
      <c r="B43" s="39" t="s">
        <v>103</v>
      </c>
      <c r="C43" s="38" t="s">
        <v>21</v>
      </c>
      <c r="D43" s="65">
        <v>99</v>
      </c>
      <c r="E43" s="38">
        <v>24</v>
      </c>
      <c r="F43" s="85" t="s">
        <v>22</v>
      </c>
      <c r="G43" s="124"/>
      <c r="H43" s="134">
        <v>9</v>
      </c>
      <c r="I43" s="42"/>
      <c r="J43" s="42">
        <v>9</v>
      </c>
      <c r="K43" s="42">
        <v>9</v>
      </c>
      <c r="L43" s="42"/>
      <c r="M43" s="42"/>
      <c r="N43" s="42"/>
      <c r="O43" s="42"/>
      <c r="P43" s="42"/>
      <c r="Q43" s="42"/>
      <c r="R43" s="42"/>
      <c r="S43" s="126">
        <f t="shared" si="2"/>
        <v>9</v>
      </c>
      <c r="T43" s="127">
        <f t="shared" si="4"/>
        <v>11</v>
      </c>
      <c r="U43" s="133">
        <f t="shared" si="3"/>
        <v>4.125</v>
      </c>
      <c r="V43" s="40"/>
      <c r="W43" s="41" t="s">
        <v>104</v>
      </c>
    </row>
    <row r="44" spans="2:23">
      <c r="B44" s="39" t="s">
        <v>105</v>
      </c>
      <c r="C44" s="38" t="s">
        <v>106</v>
      </c>
      <c r="D44" s="66">
        <v>107</v>
      </c>
      <c r="E44" s="38">
        <v>22</v>
      </c>
      <c r="F44" s="85" t="s">
        <v>26</v>
      </c>
      <c r="G44" s="124"/>
      <c r="H44" s="134">
        <v>7.5</v>
      </c>
      <c r="I44" s="42"/>
      <c r="J44" s="42">
        <v>7</v>
      </c>
      <c r="K44" s="42">
        <v>7.1</v>
      </c>
      <c r="L44" s="42"/>
      <c r="M44" s="42"/>
      <c r="N44" s="42">
        <v>6.5</v>
      </c>
      <c r="O44" s="42"/>
      <c r="P44" s="42"/>
      <c r="Q44" s="42"/>
      <c r="R44" s="42"/>
      <c r="S44" s="126">
        <f t="shared" si="2"/>
        <v>7.0250000000000004</v>
      </c>
      <c r="T44" s="127">
        <f t="shared" si="4"/>
        <v>15.231316725978647</v>
      </c>
      <c r="U44" s="133">
        <f t="shared" si="3"/>
        <v>4.8636363636363633</v>
      </c>
      <c r="V44" s="40"/>
      <c r="W44" s="41" t="s">
        <v>107</v>
      </c>
    </row>
    <row r="45" spans="2:23">
      <c r="B45" s="39" t="s">
        <v>108</v>
      </c>
      <c r="C45" s="43" t="s">
        <v>109</v>
      </c>
      <c r="D45" s="66">
        <v>134</v>
      </c>
      <c r="E45" s="42">
        <v>22</v>
      </c>
      <c r="F45" s="85" t="s">
        <v>43</v>
      </c>
      <c r="G45" s="124"/>
      <c r="H45" s="134">
        <v>6</v>
      </c>
      <c r="I45" s="42"/>
      <c r="J45" s="42">
        <v>6</v>
      </c>
      <c r="K45" s="42">
        <v>6.4</v>
      </c>
      <c r="L45" s="42"/>
      <c r="M45" s="42"/>
      <c r="N45" s="42">
        <v>5.4</v>
      </c>
      <c r="O45" s="42"/>
      <c r="P45" s="42"/>
      <c r="Q45" s="42"/>
      <c r="R45" s="42"/>
      <c r="S45" s="126">
        <f t="shared" si="2"/>
        <v>5.9499999999999993</v>
      </c>
      <c r="T45" s="127">
        <f t="shared" si="4"/>
        <v>22.521008403361346</v>
      </c>
      <c r="U45" s="133">
        <f t="shared" si="3"/>
        <v>6.0909090909090908</v>
      </c>
      <c r="V45" s="40"/>
      <c r="W45" s="41" t="s">
        <v>110</v>
      </c>
    </row>
    <row r="46" spans="2:23">
      <c r="B46" s="44" t="s">
        <v>111</v>
      </c>
      <c r="C46" s="45" t="s">
        <v>112</v>
      </c>
      <c r="D46" s="67">
        <v>53.9</v>
      </c>
      <c r="E46" s="45">
        <v>22</v>
      </c>
      <c r="F46" s="86" t="s">
        <v>22</v>
      </c>
      <c r="G46" s="125" t="s">
        <v>113</v>
      </c>
      <c r="H46" s="135">
        <v>5</v>
      </c>
      <c r="I46" s="102"/>
      <c r="J46" s="102">
        <v>4</v>
      </c>
      <c r="K46" s="102"/>
      <c r="L46" s="102"/>
      <c r="M46" s="102"/>
      <c r="N46" s="102">
        <v>4</v>
      </c>
      <c r="O46" s="102"/>
      <c r="P46" s="102"/>
      <c r="Q46" s="102"/>
      <c r="R46" s="102"/>
      <c r="S46" s="126">
        <f t="shared" si="2"/>
        <v>4.333333333333333</v>
      </c>
      <c r="T46" s="127">
        <f t="shared" si="4"/>
        <v>12.438461538461539</v>
      </c>
      <c r="U46" s="133">
        <f t="shared" si="3"/>
        <v>2.4499999999999997</v>
      </c>
      <c r="V46" s="46"/>
      <c r="W46" s="47" t="s">
        <v>114</v>
      </c>
    </row>
    <row r="47" spans="2:23">
      <c r="B47" s="44" t="s">
        <v>115</v>
      </c>
      <c r="C47" s="45" t="s">
        <v>116</v>
      </c>
      <c r="D47" s="67">
        <v>48.99</v>
      </c>
      <c r="E47" s="45">
        <v>0</v>
      </c>
      <c r="F47" s="86" t="s">
        <v>22</v>
      </c>
      <c r="G47" s="125"/>
      <c r="H47" s="135"/>
      <c r="I47" s="102"/>
      <c r="J47" s="102">
        <v>5.75</v>
      </c>
      <c r="K47" s="102"/>
      <c r="L47" s="102"/>
      <c r="M47" s="102"/>
      <c r="N47" s="102"/>
      <c r="O47" s="102"/>
      <c r="P47" s="102"/>
      <c r="Q47" s="102"/>
      <c r="R47" s="102"/>
      <c r="S47" s="126">
        <f t="shared" si="2"/>
        <v>5.75</v>
      </c>
      <c r="T47" s="127">
        <f t="shared" si="4"/>
        <v>8.52</v>
      </c>
      <c r="U47" s="133" t="str">
        <f t="shared" si="3"/>
        <v xml:space="preserve"> </v>
      </c>
      <c r="V47" s="46"/>
      <c r="W47" s="47"/>
    </row>
    <row r="48" spans="2:23">
      <c r="B48" s="25" t="s">
        <v>117</v>
      </c>
      <c r="C48" s="33" t="s">
        <v>40</v>
      </c>
      <c r="D48" s="63">
        <v>67</v>
      </c>
      <c r="E48" s="1">
        <v>24</v>
      </c>
      <c r="F48" s="81" t="s">
        <v>36</v>
      </c>
      <c r="H48" s="12">
        <v>7</v>
      </c>
      <c r="I48" s="1"/>
      <c r="J48" s="1">
        <v>6</v>
      </c>
      <c r="K48" s="1"/>
      <c r="L48" s="1"/>
      <c r="M48" s="1"/>
      <c r="N48" s="1">
        <v>8</v>
      </c>
      <c r="O48" s="1"/>
      <c r="P48" s="1"/>
      <c r="Q48" s="1"/>
      <c r="R48" s="1"/>
      <c r="S48" s="126">
        <f t="shared" si="2"/>
        <v>7</v>
      </c>
      <c r="T48" s="127">
        <f t="shared" si="4"/>
        <v>9.5714285714285712</v>
      </c>
      <c r="U48" s="133">
        <f t="shared" si="3"/>
        <v>2.7916666666666665</v>
      </c>
      <c r="W48" s="28" t="s">
        <v>118</v>
      </c>
    </row>
    <row r="49" spans="2:23">
      <c r="B49" s="25" t="s">
        <v>119</v>
      </c>
      <c r="C49" s="33" t="s">
        <v>120</v>
      </c>
      <c r="D49" s="63">
        <v>96</v>
      </c>
      <c r="E49" s="1">
        <v>15</v>
      </c>
      <c r="F49" s="81" t="s">
        <v>26</v>
      </c>
      <c r="H49" s="12">
        <v>5.3</v>
      </c>
      <c r="I49" s="1">
        <v>3</v>
      </c>
      <c r="J49" s="1">
        <v>5.5</v>
      </c>
      <c r="K49" s="1">
        <v>5.4</v>
      </c>
      <c r="L49" s="1"/>
      <c r="M49" s="1"/>
      <c r="N49" s="1">
        <v>5.8</v>
      </c>
      <c r="O49" s="1"/>
      <c r="P49" s="1"/>
      <c r="Q49" s="1">
        <v>3</v>
      </c>
      <c r="R49" s="1"/>
      <c r="S49" s="126">
        <f t="shared" si="2"/>
        <v>4.666666666666667</v>
      </c>
      <c r="T49" s="127">
        <f t="shared" si="4"/>
        <v>20.571428571428569</v>
      </c>
      <c r="U49" s="133">
        <f t="shared" si="3"/>
        <v>6.4</v>
      </c>
      <c r="W49" s="28"/>
    </row>
    <row r="50" spans="2:23">
      <c r="B50" s="25" t="s">
        <v>121</v>
      </c>
      <c r="C50" s="33" t="s">
        <v>122</v>
      </c>
      <c r="D50" s="63">
        <v>65.989999999999995</v>
      </c>
      <c r="E50" s="1">
        <v>22</v>
      </c>
      <c r="F50" s="82" t="s">
        <v>14</v>
      </c>
      <c r="H50" s="12">
        <v>8</v>
      </c>
      <c r="I50" s="1"/>
      <c r="J50" s="1"/>
      <c r="K50" s="1">
        <v>7.4</v>
      </c>
      <c r="L50" s="1"/>
      <c r="M50" s="1"/>
      <c r="N50" s="1">
        <v>8.3000000000000007</v>
      </c>
      <c r="O50" s="1"/>
      <c r="P50" s="1"/>
      <c r="Q50" s="1">
        <v>8.5</v>
      </c>
      <c r="R50" s="1"/>
      <c r="S50" s="126">
        <f t="shared" si="2"/>
        <v>8.0500000000000007</v>
      </c>
      <c r="T50" s="127">
        <f t="shared" si="4"/>
        <v>8.1975155279503085</v>
      </c>
      <c r="U50" s="133">
        <f t="shared" si="3"/>
        <v>2.9995454545454545</v>
      </c>
      <c r="W50" s="28"/>
    </row>
    <row r="51" spans="2:23">
      <c r="B51" s="25" t="s">
        <v>123</v>
      </c>
      <c r="C51" s="33" t="s">
        <v>54</v>
      </c>
      <c r="D51" s="63">
        <v>54</v>
      </c>
      <c r="E51" s="1">
        <v>21</v>
      </c>
      <c r="F51" s="81" t="s">
        <v>43</v>
      </c>
      <c r="H51" s="12">
        <v>7.1</v>
      </c>
      <c r="I51" s="1"/>
      <c r="J51" s="1">
        <v>7</v>
      </c>
      <c r="K51" s="1">
        <v>7</v>
      </c>
      <c r="L51" s="1"/>
      <c r="M51" s="1"/>
      <c r="N51" s="1">
        <v>6.9</v>
      </c>
      <c r="O51" s="1"/>
      <c r="P51" s="1"/>
      <c r="Q51" s="1">
        <v>7.2</v>
      </c>
      <c r="R51" s="1"/>
      <c r="S51" s="126">
        <f t="shared" si="2"/>
        <v>7.0400000000000009</v>
      </c>
      <c r="T51" s="127">
        <f t="shared" si="4"/>
        <v>7.6704545454545441</v>
      </c>
      <c r="U51" s="133">
        <f t="shared" si="3"/>
        <v>2.5714285714285716</v>
      </c>
      <c r="W51" s="28"/>
    </row>
    <row r="52" spans="2:23">
      <c r="B52" s="25" t="s">
        <v>124</v>
      </c>
      <c r="C52" s="33" t="s">
        <v>125</v>
      </c>
      <c r="D52" s="63">
        <v>60.99</v>
      </c>
      <c r="E52" s="1">
        <v>23</v>
      </c>
      <c r="F52" s="86" t="s">
        <v>22</v>
      </c>
      <c r="H52" s="12">
        <v>6.5</v>
      </c>
      <c r="I52" s="1"/>
      <c r="J52" s="1">
        <v>6.75</v>
      </c>
      <c r="K52" s="1"/>
      <c r="L52" s="1"/>
      <c r="M52" s="1"/>
      <c r="N52" s="1">
        <v>3</v>
      </c>
      <c r="O52" s="1"/>
      <c r="P52" s="1"/>
      <c r="Q52" s="1">
        <v>7</v>
      </c>
      <c r="R52" s="1"/>
      <c r="S52" s="126">
        <f t="shared" si="2"/>
        <v>5.8125</v>
      </c>
      <c r="T52" s="127">
        <f t="shared" si="4"/>
        <v>10.492903225806453</v>
      </c>
      <c r="U52" s="133">
        <f t="shared" si="3"/>
        <v>2.6517391304347826</v>
      </c>
      <c r="W52" s="28" t="s">
        <v>126</v>
      </c>
    </row>
    <row r="53" spans="2:23">
      <c r="B53" s="25" t="s">
        <v>127</v>
      </c>
      <c r="C53" s="33" t="s">
        <v>128</v>
      </c>
      <c r="D53" s="63">
        <v>67</v>
      </c>
      <c r="E53" s="1">
        <v>22</v>
      </c>
      <c r="F53" s="81" t="s">
        <v>36</v>
      </c>
      <c r="H53" s="12">
        <v>8.25</v>
      </c>
      <c r="I53" s="1"/>
      <c r="J53" s="1">
        <v>6.5</v>
      </c>
      <c r="K53" s="1"/>
      <c r="L53" s="1"/>
      <c r="M53" s="1"/>
      <c r="N53" s="1">
        <v>8.8000000000000007</v>
      </c>
      <c r="O53" s="1"/>
      <c r="P53" s="1"/>
      <c r="Q53" s="1">
        <v>8.5</v>
      </c>
      <c r="R53" s="1"/>
      <c r="S53" s="126">
        <f t="shared" si="2"/>
        <v>8.0124999999999993</v>
      </c>
      <c r="T53" s="127">
        <f t="shared" si="4"/>
        <v>8.361934477379096</v>
      </c>
      <c r="U53" s="133">
        <f t="shared" si="3"/>
        <v>3.0454545454545454</v>
      </c>
      <c r="W53" s="28" t="s">
        <v>129</v>
      </c>
    </row>
    <row r="54" spans="2:23">
      <c r="B54" s="25" t="s">
        <v>130</v>
      </c>
      <c r="C54" s="33" t="s">
        <v>49</v>
      </c>
      <c r="D54" s="63">
        <v>91.99</v>
      </c>
      <c r="E54" s="1">
        <v>24</v>
      </c>
      <c r="F54" s="81" t="s">
        <v>26</v>
      </c>
      <c r="H54" s="12">
        <v>6.75</v>
      </c>
      <c r="I54" s="1">
        <v>7.25</v>
      </c>
      <c r="J54" s="1">
        <v>6.75</v>
      </c>
      <c r="K54" s="1">
        <v>7.1</v>
      </c>
      <c r="L54" s="1"/>
      <c r="M54" s="1"/>
      <c r="N54" s="1">
        <v>7.5</v>
      </c>
      <c r="O54" s="1"/>
      <c r="P54" s="1"/>
      <c r="Q54" s="1">
        <v>7</v>
      </c>
      <c r="R54" s="1"/>
      <c r="S54" s="126">
        <f t="shared" si="2"/>
        <v>7.0583333333333336</v>
      </c>
      <c r="T54" s="127">
        <f t="shared" si="4"/>
        <v>13.032821723730814</v>
      </c>
      <c r="U54" s="133">
        <f t="shared" si="3"/>
        <v>3.8329166666666663</v>
      </c>
      <c r="W54" s="28"/>
    </row>
    <row r="55" spans="2:23">
      <c r="B55" s="25" t="s">
        <v>131</v>
      </c>
      <c r="C55" s="33" t="s">
        <v>38</v>
      </c>
      <c r="D55" s="63">
        <v>96.99</v>
      </c>
      <c r="E55" s="1">
        <v>22</v>
      </c>
      <c r="F55" s="81" t="s">
        <v>90</v>
      </c>
      <c r="H55" s="136"/>
      <c r="I55" s="128">
        <v>6.5</v>
      </c>
      <c r="J55" s="103">
        <v>7.5</v>
      </c>
      <c r="K55" s="103">
        <v>7.8</v>
      </c>
      <c r="L55" s="103"/>
      <c r="M55" s="103">
        <v>6.8</v>
      </c>
      <c r="N55" s="103">
        <v>6.98</v>
      </c>
      <c r="O55" s="103"/>
      <c r="P55" s="103"/>
      <c r="Q55" s="103"/>
      <c r="R55" s="103"/>
      <c r="S55" s="126">
        <f t="shared" si="2"/>
        <v>7.1159999999999997</v>
      </c>
      <c r="T55" s="127">
        <f t="shared" si="4"/>
        <v>13.629848229342327</v>
      </c>
      <c r="U55" s="133">
        <f t="shared" si="3"/>
        <v>4.4086363636363632</v>
      </c>
      <c r="W55" s="28"/>
    </row>
    <row r="56" spans="2:23">
      <c r="B56" s="25" t="s">
        <v>132</v>
      </c>
      <c r="C56" s="26" t="s">
        <v>97</v>
      </c>
      <c r="D56" s="68">
        <v>74.989999999999995</v>
      </c>
      <c r="E56" s="37">
        <v>20.7</v>
      </c>
      <c r="F56" s="82" t="s">
        <v>14</v>
      </c>
      <c r="H56" s="12">
        <v>6.5</v>
      </c>
      <c r="I56" s="1"/>
      <c r="J56" s="1">
        <v>5</v>
      </c>
      <c r="K56" s="1"/>
      <c r="L56" s="1"/>
      <c r="M56" s="1"/>
      <c r="N56" s="1">
        <v>7.5</v>
      </c>
      <c r="O56" s="1"/>
      <c r="P56" s="1"/>
      <c r="Q56" s="1">
        <v>7.5</v>
      </c>
      <c r="R56" s="1"/>
      <c r="S56" s="126">
        <f t="shared" si="2"/>
        <v>6.625</v>
      </c>
      <c r="T56" s="127">
        <f t="shared" si="4"/>
        <v>11.319245283018867</v>
      </c>
      <c r="U56" s="133">
        <f t="shared" si="3"/>
        <v>3.6227053140096617</v>
      </c>
      <c r="W56" s="28"/>
    </row>
    <row r="57" spans="2:23">
      <c r="B57" s="25" t="s">
        <v>133</v>
      </c>
      <c r="C57" s="26" t="s">
        <v>134</v>
      </c>
      <c r="D57" s="64">
        <v>85</v>
      </c>
      <c r="E57" s="26">
        <v>24</v>
      </c>
      <c r="F57" s="81" t="s">
        <v>43</v>
      </c>
      <c r="H57" s="12">
        <v>7.5</v>
      </c>
      <c r="I57" s="1">
        <v>7.9</v>
      </c>
      <c r="J57" s="1">
        <v>7</v>
      </c>
      <c r="K57" s="1">
        <v>7.5</v>
      </c>
      <c r="L57" s="1"/>
      <c r="M57" s="1"/>
      <c r="N57" s="1">
        <v>7.85</v>
      </c>
      <c r="O57" s="1"/>
      <c r="P57" s="1"/>
      <c r="Q57" s="1">
        <v>7</v>
      </c>
      <c r="R57" s="1"/>
      <c r="S57" s="126">
        <f t="shared" si="2"/>
        <v>7.458333333333333</v>
      </c>
      <c r="T57" s="127">
        <f t="shared" si="4"/>
        <v>11.396648044692737</v>
      </c>
      <c r="U57" s="133">
        <f t="shared" si="3"/>
        <v>3.5416666666666665</v>
      </c>
      <c r="W57" s="28"/>
    </row>
    <row r="58" spans="2:23">
      <c r="B58" s="25" t="s">
        <v>135</v>
      </c>
      <c r="C58" s="26" t="s">
        <v>49</v>
      </c>
      <c r="D58" s="64">
        <v>91</v>
      </c>
      <c r="E58" s="26">
        <v>26</v>
      </c>
      <c r="F58" s="86" t="s">
        <v>22</v>
      </c>
      <c r="H58" s="12">
        <v>8.25</v>
      </c>
      <c r="I58" s="1"/>
      <c r="J58" s="1">
        <v>8.75</v>
      </c>
      <c r="K58" s="1">
        <v>7.9</v>
      </c>
      <c r="L58" s="1"/>
      <c r="M58" s="1"/>
      <c r="N58" s="1">
        <v>7.8</v>
      </c>
      <c r="O58" s="1"/>
      <c r="P58" s="1"/>
      <c r="Q58" s="1">
        <v>7.5</v>
      </c>
      <c r="R58" s="1"/>
      <c r="S58" s="126">
        <f t="shared" si="2"/>
        <v>8.0399999999999991</v>
      </c>
      <c r="T58" s="127">
        <f t="shared" si="4"/>
        <v>11.318407960199005</v>
      </c>
      <c r="U58" s="133">
        <f t="shared" si="3"/>
        <v>3.5</v>
      </c>
      <c r="W58" s="28"/>
    </row>
    <row r="59" spans="2:23">
      <c r="B59" s="25" t="s">
        <v>136</v>
      </c>
      <c r="C59" s="26" t="s">
        <v>137</v>
      </c>
      <c r="D59" s="64">
        <v>103</v>
      </c>
      <c r="E59" s="26">
        <v>24</v>
      </c>
      <c r="F59" s="81" t="s">
        <v>36</v>
      </c>
      <c r="H59" s="12">
        <v>7</v>
      </c>
      <c r="I59" s="1"/>
      <c r="J59" s="1">
        <v>6.5</v>
      </c>
      <c r="K59" s="1">
        <v>7.2</v>
      </c>
      <c r="L59" s="1"/>
      <c r="M59" s="1">
        <v>7.5</v>
      </c>
      <c r="N59" s="1">
        <v>6.6</v>
      </c>
      <c r="O59" s="1"/>
      <c r="P59" s="1"/>
      <c r="Q59" s="1">
        <v>7.5</v>
      </c>
      <c r="R59" s="1"/>
      <c r="S59" s="126">
        <f t="shared" si="2"/>
        <v>7.05</v>
      </c>
      <c r="T59" s="127">
        <f t="shared" si="4"/>
        <v>14.609929078014185</v>
      </c>
      <c r="U59" s="133">
        <f t="shared" si="3"/>
        <v>4.291666666666667</v>
      </c>
      <c r="W59" s="28"/>
    </row>
    <row r="60" spans="2:23">
      <c r="B60" s="25" t="s">
        <v>138</v>
      </c>
      <c r="C60" s="26" t="s">
        <v>54</v>
      </c>
      <c r="D60" s="64">
        <v>65</v>
      </c>
      <c r="E60" s="26">
        <v>22</v>
      </c>
      <c r="F60" s="81" t="s">
        <v>26</v>
      </c>
      <c r="H60" s="12">
        <v>6.9</v>
      </c>
      <c r="I60" s="1"/>
      <c r="J60" s="1">
        <v>7.5</v>
      </c>
      <c r="K60" s="1">
        <v>7.6</v>
      </c>
      <c r="L60" s="1"/>
      <c r="M60" s="1">
        <v>7.5</v>
      </c>
      <c r="N60" s="1">
        <v>6.4</v>
      </c>
      <c r="O60" s="1"/>
      <c r="P60" s="1"/>
      <c r="Q60" s="1">
        <v>7.5</v>
      </c>
      <c r="R60" s="1"/>
      <c r="S60" s="126">
        <f t="shared" si="2"/>
        <v>7.2333333333333334</v>
      </c>
      <c r="T60" s="127">
        <f t="shared" si="4"/>
        <v>8.9861751152073737</v>
      </c>
      <c r="U60" s="133">
        <f t="shared" si="3"/>
        <v>2.9545454545454546</v>
      </c>
      <c r="W60" s="28"/>
    </row>
    <row r="61" spans="2:23">
      <c r="B61" s="25" t="s">
        <v>139</v>
      </c>
      <c r="C61" s="26" t="s">
        <v>54</v>
      </c>
      <c r="D61" s="64">
        <v>58.99</v>
      </c>
      <c r="E61" s="26">
        <v>22</v>
      </c>
      <c r="F61" s="82" t="s">
        <v>14</v>
      </c>
      <c r="H61" s="12">
        <v>7.5</v>
      </c>
      <c r="I61" s="1"/>
      <c r="J61" s="1">
        <v>7.25</v>
      </c>
      <c r="K61" s="1">
        <v>7.1</v>
      </c>
      <c r="L61" s="1"/>
      <c r="M61" s="1">
        <v>7.4</v>
      </c>
      <c r="N61" s="1"/>
      <c r="O61" s="1"/>
      <c r="P61" s="1"/>
      <c r="Q61" s="1">
        <v>7.5</v>
      </c>
      <c r="R61" s="1"/>
      <c r="S61" s="126">
        <f t="shared" si="2"/>
        <v>7.35</v>
      </c>
      <c r="T61" s="127">
        <f t="shared" si="4"/>
        <v>8.0258503401360546</v>
      </c>
      <c r="U61" s="133">
        <f t="shared" si="3"/>
        <v>2.6813636363636366</v>
      </c>
      <c r="W61" s="28"/>
    </row>
    <row r="62" spans="2:23">
      <c r="B62" s="25" t="s">
        <v>140</v>
      </c>
      <c r="C62" s="26" t="s">
        <v>141</v>
      </c>
      <c r="D62" s="64">
        <v>77.989999999999995</v>
      </c>
      <c r="E62" s="26">
        <v>22</v>
      </c>
      <c r="F62" s="81" t="s">
        <v>43</v>
      </c>
      <c r="H62" s="12">
        <v>8</v>
      </c>
      <c r="I62" s="1"/>
      <c r="J62" s="1"/>
      <c r="K62" s="1">
        <v>8.3000000000000007</v>
      </c>
      <c r="L62" s="1"/>
      <c r="M62" s="1">
        <v>7.6</v>
      </c>
      <c r="N62" s="1">
        <v>8.1999999999999993</v>
      </c>
      <c r="O62" s="1"/>
      <c r="P62" s="1"/>
      <c r="Q62" s="1">
        <v>6.5</v>
      </c>
      <c r="R62" s="1"/>
      <c r="S62" s="126">
        <f t="shared" si="2"/>
        <v>7.7199999999999989</v>
      </c>
      <c r="T62" s="127">
        <f t="shared" si="4"/>
        <v>10.102331606217618</v>
      </c>
      <c r="U62" s="133">
        <f t="shared" si="3"/>
        <v>3.5449999999999999</v>
      </c>
      <c r="W62" s="28"/>
    </row>
    <row r="63" spans="2:23">
      <c r="B63" s="25" t="s">
        <v>142</v>
      </c>
      <c r="C63" s="26" t="s">
        <v>61</v>
      </c>
      <c r="D63" s="64">
        <v>78.989999999999995</v>
      </c>
      <c r="E63" s="26">
        <v>23</v>
      </c>
      <c r="F63" s="81" t="s">
        <v>46</v>
      </c>
      <c r="H63" s="12">
        <v>7.5</v>
      </c>
      <c r="I63" s="1"/>
      <c r="J63" s="1"/>
      <c r="K63" s="1">
        <v>7.8</v>
      </c>
      <c r="L63" s="1"/>
      <c r="M63" s="1"/>
      <c r="N63" s="1">
        <v>8</v>
      </c>
      <c r="O63" s="1"/>
      <c r="P63" s="1"/>
      <c r="Q63" s="1">
        <v>8</v>
      </c>
      <c r="R63" s="1"/>
      <c r="S63" s="126">
        <f t="shared" si="2"/>
        <v>7.8250000000000002</v>
      </c>
      <c r="T63" s="127">
        <f t="shared" si="4"/>
        <v>10.094568690095846</v>
      </c>
      <c r="U63" s="133">
        <f t="shared" si="3"/>
        <v>3.4343478260869564</v>
      </c>
      <c r="W63" s="28"/>
    </row>
    <row r="64" spans="2:23">
      <c r="B64" s="25" t="s">
        <v>143</v>
      </c>
      <c r="C64" s="26" t="s">
        <v>49</v>
      </c>
      <c r="D64" s="64">
        <v>128.99</v>
      </c>
      <c r="E64" s="26">
        <v>25.44</v>
      </c>
      <c r="F64" s="86" t="s">
        <v>22</v>
      </c>
      <c r="H64" s="12">
        <v>7.75</v>
      </c>
      <c r="I64" s="1"/>
      <c r="J64" s="1">
        <v>7.25</v>
      </c>
      <c r="K64" s="1">
        <v>7.5</v>
      </c>
      <c r="L64" s="1"/>
      <c r="M64" s="1"/>
      <c r="N64" s="1">
        <v>7.5</v>
      </c>
      <c r="O64" s="1"/>
      <c r="P64" s="1"/>
      <c r="Q64" s="1">
        <v>7</v>
      </c>
      <c r="R64" s="1"/>
      <c r="S64" s="126">
        <f t="shared" si="2"/>
        <v>7.4</v>
      </c>
      <c r="T64" s="127">
        <f t="shared" si="4"/>
        <v>17.431081081081082</v>
      </c>
      <c r="U64" s="133">
        <f t="shared" si="3"/>
        <v>5.0703616352201255</v>
      </c>
      <c r="W64" s="28"/>
    </row>
    <row r="65" spans="1:23">
      <c r="B65" s="25" t="s">
        <v>144</v>
      </c>
      <c r="C65" s="26" t="s">
        <v>21</v>
      </c>
      <c r="D65" s="64">
        <v>105.99</v>
      </c>
      <c r="E65" s="26">
        <v>20</v>
      </c>
      <c r="F65" s="81" t="s">
        <v>36</v>
      </c>
      <c r="H65" s="12">
        <v>7</v>
      </c>
      <c r="I65" s="1">
        <v>6.5</v>
      </c>
      <c r="J65" s="1">
        <v>6.75</v>
      </c>
      <c r="K65" s="1">
        <v>7.9</v>
      </c>
      <c r="L65" s="1"/>
      <c r="M65" s="1">
        <v>7.9</v>
      </c>
      <c r="N65" s="1">
        <v>8.3000000000000007</v>
      </c>
      <c r="O65" s="1"/>
      <c r="P65" s="1"/>
      <c r="Q65" s="1">
        <v>7</v>
      </c>
      <c r="R65" s="1"/>
      <c r="S65" s="126">
        <f t="shared" si="2"/>
        <v>7.3357142857142845</v>
      </c>
      <c r="T65" s="127">
        <f t="shared" si="4"/>
        <v>14.448490749756575</v>
      </c>
      <c r="U65" s="133">
        <f t="shared" si="3"/>
        <v>5.2995000000000001</v>
      </c>
      <c r="W65" s="28" t="s">
        <v>145</v>
      </c>
    </row>
    <row r="66" spans="1:23">
      <c r="A66" s="48"/>
      <c r="B66" s="25" t="s">
        <v>146</v>
      </c>
      <c r="C66" s="26" t="s">
        <v>61</v>
      </c>
      <c r="D66" s="64">
        <v>84.99</v>
      </c>
      <c r="E66" s="26">
        <v>25.4</v>
      </c>
      <c r="F66" s="81" t="s">
        <v>26</v>
      </c>
      <c r="H66" s="12">
        <v>7.15</v>
      </c>
      <c r="I66" s="1"/>
      <c r="J66" s="1">
        <v>7</v>
      </c>
      <c r="K66" s="1">
        <v>7.4</v>
      </c>
      <c r="L66" s="1"/>
      <c r="M66" s="1">
        <v>7</v>
      </c>
      <c r="N66" s="1">
        <v>6.85</v>
      </c>
      <c r="O66" s="1"/>
      <c r="P66" s="1">
        <v>5.5</v>
      </c>
      <c r="Q66" s="1">
        <v>7</v>
      </c>
      <c r="R66" s="1"/>
      <c r="S66" s="126">
        <f t="shared" si="2"/>
        <v>6.8428571428571425</v>
      </c>
      <c r="T66" s="127">
        <f t="shared" ref="T66:T97" si="5">IFERROR(D66/S66," ")</f>
        <v>12.420250521920668</v>
      </c>
      <c r="U66" s="133">
        <f t="shared" si="3"/>
        <v>3.3460629921259843</v>
      </c>
      <c r="W66" s="28" t="s">
        <v>147</v>
      </c>
    </row>
    <row r="67" spans="1:23">
      <c r="A67" s="48"/>
      <c r="B67" s="25" t="s">
        <v>148</v>
      </c>
      <c r="C67" s="26" t="s">
        <v>38</v>
      </c>
      <c r="D67" s="64">
        <v>89.99</v>
      </c>
      <c r="E67" s="26">
        <v>26</v>
      </c>
      <c r="F67" s="82" t="s">
        <v>14</v>
      </c>
      <c r="H67" s="12">
        <v>8.25</v>
      </c>
      <c r="I67" s="1"/>
      <c r="J67" s="1">
        <v>8.5</v>
      </c>
      <c r="K67" s="1">
        <v>8.1999999999999993</v>
      </c>
      <c r="L67" s="1">
        <v>8</v>
      </c>
      <c r="M67" s="1"/>
      <c r="N67" s="1">
        <v>8.3000000000000007</v>
      </c>
      <c r="O67" s="1"/>
      <c r="P67" s="1"/>
      <c r="Q67" s="1">
        <v>8.5</v>
      </c>
      <c r="R67" s="1"/>
      <c r="S67" s="126">
        <f t="shared" si="2"/>
        <v>8.2916666666666661</v>
      </c>
      <c r="T67" s="127">
        <f t="shared" si="5"/>
        <v>10.853065326633166</v>
      </c>
      <c r="U67" s="133">
        <f t="shared" si="3"/>
        <v>3.461153846153846</v>
      </c>
      <c r="W67" s="28"/>
    </row>
    <row r="68" spans="1:23">
      <c r="A68" s="48"/>
      <c r="B68" s="25" t="s">
        <v>149</v>
      </c>
      <c r="C68" s="26" t="s">
        <v>150</v>
      </c>
      <c r="D68" s="64">
        <v>58.99</v>
      </c>
      <c r="E68" s="26">
        <v>22</v>
      </c>
      <c r="F68" s="81" t="s">
        <v>43</v>
      </c>
      <c r="H68" s="12">
        <v>7.42</v>
      </c>
      <c r="I68" s="1"/>
      <c r="J68" s="1">
        <v>7</v>
      </c>
      <c r="K68" s="1"/>
      <c r="L68" s="1"/>
      <c r="M68" s="1"/>
      <c r="N68" s="1">
        <v>7.5</v>
      </c>
      <c r="O68" s="1"/>
      <c r="P68" s="1"/>
      <c r="Q68" s="1"/>
      <c r="R68" s="1"/>
      <c r="S68" s="126">
        <f t="shared" ref="S68:S131" si="6">IFERROR(AVERAGE(H68:R68),0)</f>
        <v>7.3066666666666675</v>
      </c>
      <c r="T68" s="127">
        <f t="shared" si="5"/>
        <v>8.0734489051094886</v>
      </c>
      <c r="U68" s="133">
        <f t="shared" si="3"/>
        <v>2.6813636363636366</v>
      </c>
      <c r="W68" s="28" t="s">
        <v>151</v>
      </c>
    </row>
    <row r="69" spans="1:23">
      <c r="A69" s="48"/>
      <c r="B69" s="25" t="s">
        <v>152</v>
      </c>
      <c r="C69" s="26" t="s">
        <v>51</v>
      </c>
      <c r="D69" s="64">
        <v>95.99</v>
      </c>
      <c r="E69" s="26">
        <v>23.7</v>
      </c>
      <c r="F69" s="86" t="s">
        <v>22</v>
      </c>
      <c r="H69" s="12">
        <v>6.85</v>
      </c>
      <c r="I69" s="1"/>
      <c r="J69" s="1">
        <v>6.5</v>
      </c>
      <c r="K69" s="1">
        <v>6.7</v>
      </c>
      <c r="L69" s="1">
        <v>6.5</v>
      </c>
      <c r="M69" s="1"/>
      <c r="N69" s="1">
        <v>7.8</v>
      </c>
      <c r="O69" s="1"/>
      <c r="P69" s="1"/>
      <c r="Q69" s="1"/>
      <c r="R69" s="1"/>
      <c r="S69" s="126">
        <f t="shared" si="6"/>
        <v>6.87</v>
      </c>
      <c r="T69" s="127">
        <f t="shared" si="5"/>
        <v>13.972343522561863</v>
      </c>
      <c r="U69" s="133">
        <f t="shared" si="3"/>
        <v>4.0502109704641347</v>
      </c>
      <c r="W69" s="28"/>
    </row>
    <row r="70" spans="1:23">
      <c r="A70" s="48"/>
      <c r="B70" s="25" t="s">
        <v>153</v>
      </c>
      <c r="C70" s="26" t="s">
        <v>51</v>
      </c>
      <c r="D70" s="64">
        <v>101.99</v>
      </c>
      <c r="E70" s="26">
        <v>22</v>
      </c>
      <c r="F70" s="81" t="s">
        <v>36</v>
      </c>
      <c r="H70" s="12"/>
      <c r="I70" s="1"/>
      <c r="J70" s="1">
        <v>8.5</v>
      </c>
      <c r="K70" s="1"/>
      <c r="L70" s="1"/>
      <c r="M70" s="1">
        <v>8.1999999999999993</v>
      </c>
      <c r="N70" s="1">
        <v>8.3699999999999992</v>
      </c>
      <c r="O70" s="1"/>
      <c r="P70" s="1"/>
      <c r="Q70" s="1">
        <v>8.5</v>
      </c>
      <c r="R70" s="1"/>
      <c r="S70" s="126">
        <f t="shared" si="6"/>
        <v>8.3925000000000001</v>
      </c>
      <c r="T70" s="127">
        <f>IFERROR(D69/S70," ")</f>
        <v>11.437593089067619</v>
      </c>
      <c r="U70" s="133">
        <f>IFERROR(D69/E69," ")</f>
        <v>4.0502109704641347</v>
      </c>
      <c r="W70" s="28"/>
    </row>
    <row r="71" spans="1:23">
      <c r="A71" s="48"/>
      <c r="B71" s="25" t="s">
        <v>154</v>
      </c>
      <c r="C71" s="26" t="s">
        <v>40</v>
      </c>
      <c r="D71" s="64">
        <v>45</v>
      </c>
      <c r="E71" s="26">
        <v>19</v>
      </c>
      <c r="F71" s="81" t="s">
        <v>26</v>
      </c>
      <c r="H71" s="12">
        <v>6.6</v>
      </c>
      <c r="I71" s="1">
        <v>7.7</v>
      </c>
      <c r="J71" s="1">
        <v>6.5</v>
      </c>
      <c r="K71" s="1">
        <v>7.2</v>
      </c>
      <c r="L71" s="1"/>
      <c r="M71" s="1">
        <v>7.4</v>
      </c>
      <c r="N71" s="1">
        <v>7.5</v>
      </c>
      <c r="O71" s="1"/>
      <c r="P71" s="1">
        <v>8</v>
      </c>
      <c r="Q71" s="1">
        <v>7.2</v>
      </c>
      <c r="R71" s="1"/>
      <c r="S71" s="126">
        <f t="shared" si="6"/>
        <v>7.2625000000000002</v>
      </c>
      <c r="T71" s="127">
        <f t="shared" ref="T71:T101" si="7">IFERROR(D71/S71," ")</f>
        <v>6.1962134251290877</v>
      </c>
      <c r="U71" s="133">
        <f t="shared" ref="U71:U101" si="8">IFERROR(D71/E71," ")</f>
        <v>2.3684210526315788</v>
      </c>
      <c r="W71" s="28"/>
    </row>
    <row r="72" spans="1:23">
      <c r="A72" s="48"/>
      <c r="B72" s="25" t="s">
        <v>155</v>
      </c>
      <c r="C72" s="26" t="s">
        <v>45</v>
      </c>
      <c r="D72" s="61">
        <v>88.99</v>
      </c>
      <c r="E72" s="1">
        <v>23</v>
      </c>
      <c r="F72" s="87" t="s">
        <v>14</v>
      </c>
      <c r="H72" s="12">
        <v>8.6999999999999993</v>
      </c>
      <c r="I72" s="1"/>
      <c r="J72" s="1">
        <v>8.5</v>
      </c>
      <c r="K72" s="1">
        <v>8.3000000000000007</v>
      </c>
      <c r="L72" s="1">
        <v>8.5</v>
      </c>
      <c r="M72" s="1">
        <v>8.8000000000000007</v>
      </c>
      <c r="N72" s="1">
        <v>9</v>
      </c>
      <c r="O72" s="1"/>
      <c r="P72" s="1"/>
      <c r="Q72" s="1">
        <v>8.8000000000000007</v>
      </c>
      <c r="R72" s="1"/>
      <c r="S72" s="126">
        <f t="shared" si="6"/>
        <v>8.6571428571428566</v>
      </c>
      <c r="T72" s="127">
        <f t="shared" si="7"/>
        <v>10.279372937293729</v>
      </c>
      <c r="U72" s="133">
        <f t="shared" si="8"/>
        <v>3.8691304347826083</v>
      </c>
      <c r="W72" s="28"/>
    </row>
    <row r="73" spans="1:23">
      <c r="A73" s="48"/>
      <c r="B73" s="25" t="s">
        <v>156</v>
      </c>
      <c r="C73" s="26" t="s">
        <v>40</v>
      </c>
      <c r="D73" s="61">
        <v>49.99</v>
      </c>
      <c r="E73" s="1">
        <v>17</v>
      </c>
      <c r="F73" s="88" t="s">
        <v>43</v>
      </c>
      <c r="H73" s="12">
        <v>6.3</v>
      </c>
      <c r="I73" s="1"/>
      <c r="J73" s="1">
        <v>6</v>
      </c>
      <c r="K73" s="1">
        <v>8</v>
      </c>
      <c r="L73" s="1">
        <v>6</v>
      </c>
      <c r="M73" s="1">
        <v>8</v>
      </c>
      <c r="N73" s="1">
        <v>8.3000000000000007</v>
      </c>
      <c r="O73" s="1"/>
      <c r="P73" s="1"/>
      <c r="Q73" s="1">
        <v>7</v>
      </c>
      <c r="R73" s="1"/>
      <c r="S73" s="126">
        <f t="shared" si="6"/>
        <v>7.0857142857142845</v>
      </c>
      <c r="T73" s="127">
        <f t="shared" si="7"/>
        <v>7.0550403225806466</v>
      </c>
      <c r="U73" s="133">
        <f t="shared" si="8"/>
        <v>2.9405882352941179</v>
      </c>
      <c r="W73" s="28"/>
    </row>
    <row r="74" spans="1:23">
      <c r="A74" s="48"/>
      <c r="B74" s="25" t="s">
        <v>157</v>
      </c>
      <c r="C74" s="26" t="s">
        <v>61</v>
      </c>
      <c r="D74" s="61">
        <v>72</v>
      </c>
      <c r="E74" s="1">
        <v>23.1</v>
      </c>
      <c r="F74" s="187" t="s">
        <v>46</v>
      </c>
      <c r="H74" s="12"/>
      <c r="I74" s="1"/>
      <c r="J74" s="1"/>
      <c r="K74" s="1"/>
      <c r="L74" s="1"/>
      <c r="M74" s="1"/>
      <c r="N74" s="1">
        <v>6.5</v>
      </c>
      <c r="O74" s="1"/>
      <c r="P74" s="1"/>
      <c r="Q74" s="1"/>
      <c r="R74" s="1"/>
      <c r="S74" s="126">
        <f t="shared" si="6"/>
        <v>6.5</v>
      </c>
      <c r="T74" s="127">
        <f t="shared" si="7"/>
        <v>11.076923076923077</v>
      </c>
      <c r="U74" s="133">
        <f t="shared" si="8"/>
        <v>3.1168831168831166</v>
      </c>
      <c r="W74" s="28"/>
    </row>
    <row r="75" spans="1:23">
      <c r="A75" s="48"/>
      <c r="B75" s="25" t="s">
        <v>158</v>
      </c>
      <c r="C75" s="26" t="s">
        <v>159</v>
      </c>
      <c r="D75" s="64">
        <v>79.989999999999995</v>
      </c>
      <c r="E75" s="37">
        <v>23.8</v>
      </c>
      <c r="F75" s="86" t="s">
        <v>22</v>
      </c>
      <c r="H75" s="12">
        <v>7.4</v>
      </c>
      <c r="I75" s="1">
        <v>7</v>
      </c>
      <c r="J75" s="1">
        <v>7.75</v>
      </c>
      <c r="K75" s="1">
        <v>7.5</v>
      </c>
      <c r="L75" s="1">
        <v>7.3</v>
      </c>
      <c r="M75" s="1">
        <v>8.1</v>
      </c>
      <c r="N75" s="1">
        <v>8.3000000000000007</v>
      </c>
      <c r="O75" s="1"/>
      <c r="P75" s="1"/>
      <c r="Q75" s="1">
        <v>8</v>
      </c>
      <c r="R75" s="1"/>
      <c r="S75" s="126">
        <f t="shared" si="6"/>
        <v>7.6687499999999993</v>
      </c>
      <c r="T75" s="127">
        <f t="shared" si="7"/>
        <v>10.430643846780766</v>
      </c>
      <c r="U75" s="133">
        <f t="shared" si="8"/>
        <v>3.3609243697478988</v>
      </c>
      <c r="W75" s="28"/>
    </row>
    <row r="76" spans="1:23">
      <c r="A76" s="48"/>
      <c r="B76" s="25" t="s">
        <v>160</v>
      </c>
      <c r="C76" s="26" t="s">
        <v>40</v>
      </c>
      <c r="D76" s="64">
        <v>76.989999999999995</v>
      </c>
      <c r="E76" s="26">
        <v>26</v>
      </c>
      <c r="F76" s="81" t="s">
        <v>36</v>
      </c>
      <c r="H76" s="12">
        <v>6</v>
      </c>
      <c r="I76" s="1"/>
      <c r="J76" s="1">
        <v>5.6</v>
      </c>
      <c r="K76" s="1"/>
      <c r="L76" s="1"/>
      <c r="M76" s="1">
        <v>8.5</v>
      </c>
      <c r="N76" s="1">
        <v>8.6</v>
      </c>
      <c r="O76" s="1"/>
      <c r="P76" s="1">
        <v>8.5</v>
      </c>
      <c r="Q76" s="1"/>
      <c r="R76" s="1"/>
      <c r="S76" s="126">
        <f t="shared" si="6"/>
        <v>7.44</v>
      </c>
      <c r="T76" s="127">
        <f t="shared" si="7"/>
        <v>10.348118279569892</v>
      </c>
      <c r="U76" s="133">
        <f t="shared" si="8"/>
        <v>2.961153846153846</v>
      </c>
      <c r="W76" s="28" t="s">
        <v>161</v>
      </c>
    </row>
    <row r="77" spans="1:23">
      <c r="A77" s="48"/>
      <c r="B77" s="25" t="s">
        <v>162</v>
      </c>
      <c r="C77" s="26" t="s">
        <v>38</v>
      </c>
      <c r="D77" s="64">
        <v>94.99</v>
      </c>
      <c r="E77" s="26">
        <v>22</v>
      </c>
      <c r="F77" s="81" t="s">
        <v>163</v>
      </c>
      <c r="H77" s="12">
        <v>7.1</v>
      </c>
      <c r="I77" s="1"/>
      <c r="J77" s="1">
        <v>6.85</v>
      </c>
      <c r="K77" s="1">
        <v>7.2</v>
      </c>
      <c r="L77" s="1">
        <v>7.6</v>
      </c>
      <c r="M77" s="1">
        <v>6.9</v>
      </c>
      <c r="N77" s="1">
        <v>8</v>
      </c>
      <c r="O77" s="1"/>
      <c r="P77" s="1">
        <v>7.3</v>
      </c>
      <c r="Q77" s="1">
        <v>8.5</v>
      </c>
      <c r="R77" s="1"/>
      <c r="S77" s="126">
        <f t="shared" si="6"/>
        <v>7.4312499999999995</v>
      </c>
      <c r="T77" s="127">
        <f t="shared" si="7"/>
        <v>12.782506307821698</v>
      </c>
      <c r="U77" s="133">
        <f t="shared" si="8"/>
        <v>4.3177272727272724</v>
      </c>
      <c r="W77" s="28"/>
    </row>
    <row r="78" spans="1:23">
      <c r="A78" s="48"/>
      <c r="B78" s="25" t="s">
        <v>164</v>
      </c>
      <c r="C78" s="26" t="s">
        <v>49</v>
      </c>
      <c r="D78" s="64">
        <v>55</v>
      </c>
      <c r="E78" s="26">
        <v>22</v>
      </c>
      <c r="F78" s="81" t="s">
        <v>165</v>
      </c>
      <c r="H78" s="12">
        <v>7.25</v>
      </c>
      <c r="I78" s="1"/>
      <c r="J78" s="1"/>
      <c r="K78" s="1">
        <v>7.4</v>
      </c>
      <c r="L78" s="1">
        <v>6.3</v>
      </c>
      <c r="M78" s="1">
        <v>6.5</v>
      </c>
      <c r="N78" s="1">
        <v>6.2</v>
      </c>
      <c r="O78" s="1"/>
      <c r="P78" s="1">
        <v>7.2</v>
      </c>
      <c r="Q78" s="1">
        <v>6.1</v>
      </c>
      <c r="R78" s="1"/>
      <c r="S78" s="126">
        <f t="shared" si="6"/>
        <v>6.7071428571428573</v>
      </c>
      <c r="T78" s="127">
        <f t="shared" si="7"/>
        <v>8.2002129925452607</v>
      </c>
      <c r="U78" s="133">
        <f t="shared" si="8"/>
        <v>2.5</v>
      </c>
      <c r="W78" s="28"/>
    </row>
    <row r="79" spans="1:23">
      <c r="A79" s="48"/>
      <c r="B79" s="25" t="s">
        <v>166</v>
      </c>
      <c r="C79" s="26" t="s">
        <v>35</v>
      </c>
      <c r="D79" s="64">
        <v>71.989999999999995</v>
      </c>
      <c r="E79" s="26">
        <v>22</v>
      </c>
      <c r="F79" s="81" t="s">
        <v>26</v>
      </c>
      <c r="H79" s="12"/>
      <c r="I79" s="1"/>
      <c r="J79" s="1">
        <v>6.8</v>
      </c>
      <c r="K79" s="1">
        <v>7.4</v>
      </c>
      <c r="L79" s="1"/>
      <c r="M79" s="1">
        <v>7.7</v>
      </c>
      <c r="N79" s="1">
        <v>7.2</v>
      </c>
      <c r="O79" s="1"/>
      <c r="P79" s="1">
        <v>8.5</v>
      </c>
      <c r="Q79" s="1">
        <v>8</v>
      </c>
      <c r="R79" s="1"/>
      <c r="S79" s="126">
        <f t="shared" si="6"/>
        <v>7.5999999999999988</v>
      </c>
      <c r="T79" s="127">
        <f t="shared" si="7"/>
        <v>9.4723684210526322</v>
      </c>
      <c r="U79" s="133">
        <f t="shared" si="8"/>
        <v>3.272272727272727</v>
      </c>
      <c r="W79" s="28"/>
    </row>
    <row r="80" spans="1:23">
      <c r="A80" s="48"/>
      <c r="B80" s="25" t="s">
        <v>167</v>
      </c>
      <c r="C80" s="26" t="s">
        <v>168</v>
      </c>
      <c r="D80" s="64">
        <v>49.95</v>
      </c>
      <c r="E80" s="26">
        <v>20</v>
      </c>
      <c r="F80" s="87" t="s">
        <v>14</v>
      </c>
      <c r="H80" s="12">
        <v>6</v>
      </c>
      <c r="I80" s="1"/>
      <c r="J80" s="1">
        <v>5.8</v>
      </c>
      <c r="K80" s="1">
        <v>7</v>
      </c>
      <c r="L80" s="1"/>
      <c r="M80" s="1">
        <v>7.7</v>
      </c>
      <c r="N80" s="1">
        <v>7.87</v>
      </c>
      <c r="O80" s="1"/>
      <c r="P80" s="1">
        <v>7.5</v>
      </c>
      <c r="Q80" s="1">
        <v>7</v>
      </c>
      <c r="R80" s="1"/>
      <c r="S80" s="126">
        <f t="shared" si="6"/>
        <v>6.9814285714285713</v>
      </c>
      <c r="T80" s="127">
        <f t="shared" si="7"/>
        <v>7.154696132596686</v>
      </c>
      <c r="U80" s="133">
        <f t="shared" si="8"/>
        <v>2.4975000000000001</v>
      </c>
      <c r="W80" s="28"/>
    </row>
    <row r="81" spans="1:23">
      <c r="A81" s="48"/>
      <c r="B81" s="25" t="s">
        <v>169</v>
      </c>
      <c r="C81" s="26" t="s">
        <v>170</v>
      </c>
      <c r="D81" s="64">
        <v>45.9</v>
      </c>
      <c r="E81" s="26">
        <v>22</v>
      </c>
      <c r="F81" s="88" t="s">
        <v>43</v>
      </c>
      <c r="H81" s="12">
        <v>5.5</v>
      </c>
      <c r="I81" s="1"/>
      <c r="J81" s="1"/>
      <c r="K81" s="1">
        <v>6.2</v>
      </c>
      <c r="L81" s="1"/>
      <c r="M81" s="1">
        <v>6.4</v>
      </c>
      <c r="N81" s="1">
        <v>6.75</v>
      </c>
      <c r="O81" s="1"/>
      <c r="P81" s="1">
        <v>4.2</v>
      </c>
      <c r="Q81" s="1">
        <v>4</v>
      </c>
      <c r="R81" s="1"/>
      <c r="S81" s="126">
        <f t="shared" si="6"/>
        <v>5.5083333333333329</v>
      </c>
      <c r="T81" s="127">
        <f t="shared" si="7"/>
        <v>8.3328290468986381</v>
      </c>
      <c r="U81" s="133">
        <f t="shared" si="8"/>
        <v>2.0863636363636364</v>
      </c>
      <c r="W81" s="28"/>
    </row>
    <row r="82" spans="1:23">
      <c r="A82" s="48"/>
      <c r="B82" s="25" t="s">
        <v>171</v>
      </c>
      <c r="C82" s="26" t="s">
        <v>49</v>
      </c>
      <c r="D82" s="64">
        <v>58</v>
      </c>
      <c r="E82" s="26">
        <v>22</v>
      </c>
      <c r="F82" s="86" t="s">
        <v>22</v>
      </c>
      <c r="H82" s="12">
        <v>6</v>
      </c>
      <c r="I82" s="1"/>
      <c r="J82" s="1">
        <v>6</v>
      </c>
      <c r="K82" s="1">
        <v>6.5</v>
      </c>
      <c r="L82" s="1"/>
      <c r="M82" s="1">
        <v>6.4</v>
      </c>
      <c r="N82" s="1">
        <v>6.3</v>
      </c>
      <c r="O82" s="1"/>
      <c r="P82" s="1">
        <v>6.03</v>
      </c>
      <c r="Q82" s="1">
        <v>5</v>
      </c>
      <c r="R82" s="1"/>
      <c r="S82" s="126">
        <f t="shared" si="6"/>
        <v>6.032857142857142</v>
      </c>
      <c r="T82" s="127">
        <f t="shared" si="7"/>
        <v>9.6140184702817919</v>
      </c>
      <c r="U82" s="133">
        <f t="shared" si="8"/>
        <v>2.6363636363636362</v>
      </c>
      <c r="W82" s="28"/>
    </row>
    <row r="83" spans="1:23">
      <c r="A83" s="48"/>
      <c r="B83" s="25" t="s">
        <v>172</v>
      </c>
      <c r="C83" s="26" t="s">
        <v>173</v>
      </c>
      <c r="D83" s="64">
        <v>64.989999999999995</v>
      </c>
      <c r="E83" s="26">
        <v>17</v>
      </c>
      <c r="F83" s="81" t="s">
        <v>36</v>
      </c>
      <c r="H83" s="12">
        <v>8.1</v>
      </c>
      <c r="I83" s="1"/>
      <c r="J83" s="1">
        <v>5</v>
      </c>
      <c r="K83" s="1">
        <v>8.1999999999999993</v>
      </c>
      <c r="L83" s="1">
        <v>7.9</v>
      </c>
      <c r="M83" s="1">
        <v>7.6</v>
      </c>
      <c r="N83" s="1">
        <v>8.1999999999999993</v>
      </c>
      <c r="O83" s="1"/>
      <c r="P83" s="1">
        <v>8</v>
      </c>
      <c r="Q83" s="1">
        <v>6.5</v>
      </c>
      <c r="R83" s="1"/>
      <c r="S83" s="126">
        <f t="shared" si="6"/>
        <v>7.4375</v>
      </c>
      <c r="T83" s="127">
        <f t="shared" si="7"/>
        <v>8.7381512605042015</v>
      </c>
      <c r="U83" s="133">
        <f t="shared" si="8"/>
        <v>3.8229411764705881</v>
      </c>
      <c r="W83" s="28" t="s">
        <v>174</v>
      </c>
    </row>
    <row r="84" spans="1:23">
      <c r="A84" s="48"/>
      <c r="B84" s="25" t="s">
        <v>175</v>
      </c>
      <c r="C84" s="26" t="s">
        <v>80</v>
      </c>
      <c r="D84" s="64">
        <v>62</v>
      </c>
      <c r="E84" s="26">
        <v>22</v>
      </c>
      <c r="F84" s="81" t="s">
        <v>163</v>
      </c>
      <c r="H84" s="12">
        <v>7</v>
      </c>
      <c r="I84" s="1">
        <v>6.9</v>
      </c>
      <c r="J84" s="1">
        <v>6.95</v>
      </c>
      <c r="K84" s="1">
        <v>7</v>
      </c>
      <c r="L84" s="1">
        <v>7.7</v>
      </c>
      <c r="M84" s="1">
        <v>7.3</v>
      </c>
      <c r="N84" s="1">
        <v>7.9</v>
      </c>
      <c r="O84" s="1"/>
      <c r="P84" s="1"/>
      <c r="Q84" s="1">
        <v>6.5</v>
      </c>
      <c r="R84" s="1"/>
      <c r="S84" s="126">
        <f t="shared" si="6"/>
        <v>7.15625</v>
      </c>
      <c r="T84" s="127">
        <f t="shared" si="7"/>
        <v>8.6637554585152845</v>
      </c>
      <c r="U84" s="133">
        <f t="shared" si="8"/>
        <v>2.8181818181818183</v>
      </c>
      <c r="W84" s="28"/>
    </row>
    <row r="85" spans="1:23">
      <c r="A85" s="48"/>
      <c r="B85" s="25" t="s">
        <v>176</v>
      </c>
      <c r="C85" s="26" t="s">
        <v>177</v>
      </c>
      <c r="D85" s="64">
        <v>67.2</v>
      </c>
      <c r="E85" s="26">
        <v>30.9</v>
      </c>
      <c r="F85" s="81" t="s">
        <v>90</v>
      </c>
      <c r="H85" s="12">
        <v>6</v>
      </c>
      <c r="I85" s="1">
        <v>5.8</v>
      </c>
      <c r="J85" s="1"/>
      <c r="K85" s="1">
        <v>5.9</v>
      </c>
      <c r="L85" s="1"/>
      <c r="M85" s="1">
        <v>6.1</v>
      </c>
      <c r="N85" s="1">
        <v>5.7</v>
      </c>
      <c r="O85" s="1"/>
      <c r="P85" s="1"/>
      <c r="Q85" s="1">
        <v>6.5</v>
      </c>
      <c r="R85" s="1"/>
      <c r="S85" s="126">
        <f t="shared" si="6"/>
        <v>6</v>
      </c>
      <c r="T85" s="127">
        <f t="shared" si="7"/>
        <v>11.200000000000001</v>
      </c>
      <c r="U85" s="133">
        <f t="shared" si="8"/>
        <v>2.1747572815533984</v>
      </c>
      <c r="W85" s="28"/>
    </row>
    <row r="86" spans="1:23">
      <c r="A86" s="48"/>
      <c r="B86" s="25" t="s">
        <v>178</v>
      </c>
      <c r="C86" s="26" t="s">
        <v>51</v>
      </c>
      <c r="D86" s="64">
        <v>57</v>
      </c>
      <c r="E86" s="26">
        <v>22</v>
      </c>
      <c r="F86" s="81" t="s">
        <v>165</v>
      </c>
      <c r="H86" s="12">
        <v>6.5</v>
      </c>
      <c r="I86" s="1"/>
      <c r="J86" s="1">
        <v>6</v>
      </c>
      <c r="K86" s="1">
        <v>7</v>
      </c>
      <c r="L86" s="1"/>
      <c r="M86" s="1">
        <v>6.5</v>
      </c>
      <c r="N86" s="1">
        <v>6.5</v>
      </c>
      <c r="O86" s="1"/>
      <c r="P86" s="1">
        <v>6.9</v>
      </c>
      <c r="Q86" s="1">
        <v>6.7</v>
      </c>
      <c r="R86" s="1"/>
      <c r="S86" s="126">
        <f t="shared" si="6"/>
        <v>6.5857142857142863</v>
      </c>
      <c r="T86" s="127">
        <f t="shared" si="7"/>
        <v>8.6550976138828624</v>
      </c>
      <c r="U86" s="133">
        <f t="shared" si="8"/>
        <v>2.5909090909090908</v>
      </c>
      <c r="W86" s="28"/>
    </row>
    <row r="87" spans="1:23">
      <c r="A87" s="48"/>
      <c r="B87" s="25" t="s">
        <v>179</v>
      </c>
      <c r="C87" s="26" t="s">
        <v>122</v>
      </c>
      <c r="D87" s="64">
        <v>72</v>
      </c>
      <c r="E87" s="26">
        <v>22.8</v>
      </c>
      <c r="F87" s="81" t="s">
        <v>26</v>
      </c>
      <c r="H87" s="12">
        <v>7</v>
      </c>
      <c r="I87" s="1"/>
      <c r="J87" s="1">
        <v>6.7</v>
      </c>
      <c r="K87" s="1">
        <v>7.6</v>
      </c>
      <c r="L87" s="1"/>
      <c r="M87" s="1"/>
      <c r="N87" s="1">
        <v>7.6</v>
      </c>
      <c r="O87" s="1"/>
      <c r="P87" s="1">
        <v>7</v>
      </c>
      <c r="Q87" s="1">
        <v>8</v>
      </c>
      <c r="R87" s="1"/>
      <c r="S87" s="126">
        <f t="shared" si="6"/>
        <v>7.3166666666666664</v>
      </c>
      <c r="T87" s="127">
        <f t="shared" si="7"/>
        <v>9.8405466970387252</v>
      </c>
      <c r="U87" s="133">
        <f t="shared" si="8"/>
        <v>3.1578947368421053</v>
      </c>
      <c r="W87" s="28"/>
    </row>
    <row r="88" spans="1:23">
      <c r="A88" s="48"/>
      <c r="B88" s="25" t="s">
        <v>180</v>
      </c>
      <c r="C88" s="26" t="s">
        <v>170</v>
      </c>
      <c r="D88" s="64">
        <v>52.99</v>
      </c>
      <c r="E88" s="26">
        <v>22</v>
      </c>
      <c r="F88" s="82" t="s">
        <v>14</v>
      </c>
      <c r="H88" s="12">
        <v>5.5</v>
      </c>
      <c r="I88" s="1"/>
      <c r="J88" s="1">
        <v>6.2</v>
      </c>
      <c r="K88" s="1">
        <v>7.8</v>
      </c>
      <c r="L88" s="1"/>
      <c r="M88" s="1">
        <v>6.2</v>
      </c>
      <c r="N88" s="1">
        <v>6</v>
      </c>
      <c r="O88" s="1"/>
      <c r="P88" s="1">
        <v>6.3</v>
      </c>
      <c r="Q88" s="1">
        <v>7</v>
      </c>
      <c r="R88" s="1"/>
      <c r="S88" s="126">
        <f t="shared" si="6"/>
        <v>6.4285714285714288</v>
      </c>
      <c r="T88" s="127">
        <f t="shared" si="7"/>
        <v>8.2428888888888885</v>
      </c>
      <c r="U88" s="133">
        <f t="shared" si="8"/>
        <v>2.4086363636363637</v>
      </c>
      <c r="W88" s="28"/>
    </row>
    <row r="89" spans="1:23">
      <c r="A89" s="48"/>
      <c r="B89" s="25" t="s">
        <v>181</v>
      </c>
      <c r="C89" s="26" t="s">
        <v>182</v>
      </c>
      <c r="D89" s="64">
        <v>69</v>
      </c>
      <c r="E89" s="36">
        <v>24</v>
      </c>
      <c r="F89" s="82" t="s">
        <v>43</v>
      </c>
      <c r="H89" s="12"/>
      <c r="I89" s="1"/>
      <c r="J89" s="1">
        <v>7</v>
      </c>
      <c r="K89" s="1">
        <v>6.75</v>
      </c>
      <c r="L89" s="1"/>
      <c r="M89" s="1">
        <v>7.3</v>
      </c>
      <c r="N89" s="1">
        <v>6.6</v>
      </c>
      <c r="O89" s="1"/>
      <c r="P89" s="1"/>
      <c r="Q89" s="1"/>
      <c r="R89" s="1"/>
      <c r="S89" s="126">
        <f t="shared" si="6"/>
        <v>6.9124999999999996</v>
      </c>
      <c r="T89" s="127">
        <f t="shared" si="7"/>
        <v>9.9819168173598563</v>
      </c>
      <c r="U89" s="133">
        <f t="shared" si="8"/>
        <v>2.875</v>
      </c>
      <c r="W89" s="28"/>
    </row>
    <row r="90" spans="1:23">
      <c r="A90" s="48"/>
      <c r="B90" s="12" t="s">
        <v>183</v>
      </c>
      <c r="C90" s="1" t="s">
        <v>49</v>
      </c>
      <c r="D90" s="63">
        <v>77.989999999999995</v>
      </c>
      <c r="E90" s="36">
        <v>22</v>
      </c>
      <c r="F90" s="86" t="s">
        <v>22</v>
      </c>
      <c r="H90" s="12">
        <v>7</v>
      </c>
      <c r="I90" s="1"/>
      <c r="J90" s="1">
        <v>6.8</v>
      </c>
      <c r="K90" s="1">
        <v>6.8</v>
      </c>
      <c r="L90" s="1"/>
      <c r="M90" s="1">
        <v>7.7</v>
      </c>
      <c r="N90" s="1"/>
      <c r="O90" s="1"/>
      <c r="P90" s="1">
        <v>5.9</v>
      </c>
      <c r="Q90" s="1">
        <v>7</v>
      </c>
      <c r="R90" s="1"/>
      <c r="S90" s="126">
        <f t="shared" si="6"/>
        <v>6.8666666666666671</v>
      </c>
      <c r="T90" s="127">
        <f t="shared" si="7"/>
        <v>11.35776699029126</v>
      </c>
      <c r="U90" s="133">
        <f t="shared" si="8"/>
        <v>3.5449999999999999</v>
      </c>
      <c r="W90" s="28"/>
    </row>
    <row r="91" spans="1:23">
      <c r="A91" s="48"/>
      <c r="B91" s="25" t="s">
        <v>184</v>
      </c>
      <c r="C91" s="80" t="s">
        <v>35</v>
      </c>
      <c r="D91" s="64">
        <v>44.95</v>
      </c>
      <c r="E91" s="36">
        <v>22</v>
      </c>
      <c r="F91" s="82" t="s">
        <v>36</v>
      </c>
      <c r="H91" s="12">
        <v>6.5</v>
      </c>
      <c r="I91" s="1"/>
      <c r="J91" s="1">
        <v>6</v>
      </c>
      <c r="K91" s="1"/>
      <c r="L91" s="1"/>
      <c r="M91" s="1"/>
      <c r="N91" s="1">
        <v>7</v>
      </c>
      <c r="O91" s="1"/>
      <c r="P91" s="1"/>
      <c r="Q91" s="1"/>
      <c r="R91" s="1"/>
      <c r="S91" s="126">
        <f t="shared" si="6"/>
        <v>6.5</v>
      </c>
      <c r="T91" s="127">
        <f t="shared" si="7"/>
        <v>6.9153846153846157</v>
      </c>
      <c r="U91" s="133">
        <f t="shared" si="8"/>
        <v>2.0431818181818184</v>
      </c>
      <c r="W91" s="28"/>
    </row>
    <row r="92" spans="1:23">
      <c r="A92" s="48"/>
      <c r="B92" s="12" t="s">
        <v>185</v>
      </c>
      <c r="C92" s="26" t="s">
        <v>49</v>
      </c>
      <c r="D92" s="64">
        <v>69.989999999999995</v>
      </c>
      <c r="E92" s="26">
        <v>22.1</v>
      </c>
      <c r="F92" s="82" t="s">
        <v>26</v>
      </c>
      <c r="H92" s="12">
        <v>7.5</v>
      </c>
      <c r="I92" s="1"/>
      <c r="J92" s="1">
        <v>7.1</v>
      </c>
      <c r="K92" s="1"/>
      <c r="L92" s="1"/>
      <c r="M92" s="1">
        <v>7.2</v>
      </c>
      <c r="N92" s="1"/>
      <c r="O92" s="1"/>
      <c r="P92" s="1"/>
      <c r="Q92" s="1"/>
      <c r="R92" s="1"/>
      <c r="S92" s="126">
        <f t="shared" si="6"/>
        <v>7.2666666666666666</v>
      </c>
      <c r="T92" s="127">
        <f t="shared" si="7"/>
        <v>9.6316513761467881</v>
      </c>
      <c r="U92" s="133">
        <f t="shared" si="8"/>
        <v>3.1669683257918546</v>
      </c>
      <c r="W92" s="28"/>
    </row>
    <row r="93" spans="1:23">
      <c r="A93" s="48"/>
      <c r="B93" s="12" t="s">
        <v>186</v>
      </c>
      <c r="C93" s="1" t="s">
        <v>187</v>
      </c>
      <c r="D93" s="63">
        <v>52.95</v>
      </c>
      <c r="E93" s="1">
        <v>22</v>
      </c>
      <c r="F93" s="81" t="s">
        <v>165</v>
      </c>
      <c r="H93" s="12"/>
      <c r="I93" s="1"/>
      <c r="J93" s="1">
        <v>7.2</v>
      </c>
      <c r="K93" s="1">
        <v>7.1</v>
      </c>
      <c r="L93" s="1"/>
      <c r="M93" s="1">
        <v>7.2</v>
      </c>
      <c r="N93" s="1">
        <v>6.8</v>
      </c>
      <c r="O93" s="1"/>
      <c r="P93" s="1">
        <v>7.3</v>
      </c>
      <c r="Q93" s="1"/>
      <c r="R93" s="1"/>
      <c r="S93" s="126">
        <f t="shared" si="6"/>
        <v>7.12</v>
      </c>
      <c r="T93" s="127">
        <f t="shared" si="7"/>
        <v>7.4367977528089888</v>
      </c>
      <c r="U93" s="133">
        <f t="shared" si="8"/>
        <v>2.4068181818181817</v>
      </c>
      <c r="W93" s="28"/>
    </row>
    <row r="94" spans="1:23">
      <c r="A94" s="48"/>
      <c r="B94" s="12" t="s">
        <v>188</v>
      </c>
      <c r="C94" s="1" t="s">
        <v>35</v>
      </c>
      <c r="D94" s="63">
        <v>59.99</v>
      </c>
      <c r="E94" s="1">
        <v>20.7</v>
      </c>
      <c r="F94" s="81" t="s">
        <v>14</v>
      </c>
      <c r="H94" s="12">
        <v>6.5</v>
      </c>
      <c r="I94" s="1"/>
      <c r="J94" s="1">
        <v>5.8</v>
      </c>
      <c r="K94" s="1"/>
      <c r="L94" s="1"/>
      <c r="M94" s="1"/>
      <c r="N94" s="1">
        <v>7.6</v>
      </c>
      <c r="O94" s="1">
        <v>8</v>
      </c>
      <c r="P94" s="1"/>
      <c r="Q94" s="1">
        <v>6.5</v>
      </c>
      <c r="R94" s="1"/>
      <c r="S94" s="126">
        <f t="shared" si="6"/>
        <v>6.88</v>
      </c>
      <c r="T94" s="127">
        <f t="shared" si="7"/>
        <v>8.7194767441860463</v>
      </c>
      <c r="U94" s="133">
        <f t="shared" si="8"/>
        <v>2.8980676328502417</v>
      </c>
      <c r="W94" s="28"/>
    </row>
    <row r="95" spans="1:23">
      <c r="A95" s="48"/>
      <c r="B95" s="12" t="s">
        <v>189</v>
      </c>
      <c r="C95" s="1" t="s">
        <v>122</v>
      </c>
      <c r="D95" s="63">
        <v>43</v>
      </c>
      <c r="E95" s="1">
        <v>11</v>
      </c>
      <c r="F95" s="81" t="s">
        <v>43</v>
      </c>
      <c r="H95" s="12">
        <v>7.25</v>
      </c>
      <c r="I95" s="1"/>
      <c r="J95" s="1">
        <v>6.5</v>
      </c>
      <c r="K95" s="1"/>
      <c r="L95" s="1"/>
      <c r="M95" s="1">
        <v>7</v>
      </c>
      <c r="N95" s="1">
        <v>8</v>
      </c>
      <c r="O95" s="1"/>
      <c r="P95" s="1"/>
      <c r="Q95" s="1"/>
      <c r="R95" s="1"/>
      <c r="S95" s="126">
        <f t="shared" si="6"/>
        <v>7.1875</v>
      </c>
      <c r="T95" s="127">
        <f t="shared" si="7"/>
        <v>5.982608695652174</v>
      </c>
      <c r="U95" s="133">
        <f t="shared" si="8"/>
        <v>3.9090909090909092</v>
      </c>
      <c r="W95" s="28"/>
    </row>
    <row r="96" spans="1:23">
      <c r="A96" s="48"/>
      <c r="B96" s="12" t="s">
        <v>190</v>
      </c>
      <c r="C96" s="1" t="s">
        <v>49</v>
      </c>
      <c r="D96" s="63">
        <v>59.99</v>
      </c>
      <c r="E96" s="1">
        <v>22</v>
      </c>
      <c r="F96" s="81" t="s">
        <v>22</v>
      </c>
      <c r="H96" s="12"/>
      <c r="I96" s="1"/>
      <c r="J96" s="1">
        <v>6</v>
      </c>
      <c r="K96" s="1"/>
      <c r="L96" s="1"/>
      <c r="M96" s="1"/>
      <c r="N96" s="1"/>
      <c r="O96" s="1"/>
      <c r="P96" s="1"/>
      <c r="Q96" s="1"/>
      <c r="R96" s="1"/>
      <c r="S96" s="126">
        <f t="shared" si="6"/>
        <v>6</v>
      </c>
      <c r="T96" s="127">
        <f t="shared" si="7"/>
        <v>9.9983333333333331</v>
      </c>
      <c r="U96" s="133">
        <f t="shared" si="8"/>
        <v>2.726818181818182</v>
      </c>
      <c r="W96" s="28"/>
    </row>
    <row r="97" spans="1:23">
      <c r="A97" s="48"/>
      <c r="B97" s="12" t="s">
        <v>191</v>
      </c>
      <c r="C97" s="1" t="s">
        <v>49</v>
      </c>
      <c r="D97" s="63">
        <v>49.95</v>
      </c>
      <c r="E97" s="1">
        <v>22</v>
      </c>
      <c r="F97" s="81" t="s">
        <v>36</v>
      </c>
      <c r="H97" s="12">
        <v>6.5</v>
      </c>
      <c r="I97" s="1">
        <v>6.2</v>
      </c>
      <c r="J97" s="1">
        <v>6.8</v>
      </c>
      <c r="K97" s="1">
        <v>7</v>
      </c>
      <c r="L97" s="1">
        <v>7.8</v>
      </c>
      <c r="M97" s="1">
        <v>6.9</v>
      </c>
      <c r="N97" s="1">
        <v>7.3</v>
      </c>
      <c r="O97" s="1"/>
      <c r="P97" s="1">
        <v>6.1</v>
      </c>
      <c r="Q97" s="1"/>
      <c r="R97" s="1"/>
      <c r="S97" s="126">
        <f t="shared" si="6"/>
        <v>6.8249999999999993</v>
      </c>
      <c r="T97" s="127">
        <f t="shared" si="7"/>
        <v>7.3186813186813202</v>
      </c>
      <c r="U97" s="133">
        <f t="shared" si="8"/>
        <v>2.2704545454545455</v>
      </c>
      <c r="W97" s="28"/>
    </row>
    <row r="98" spans="1:23">
      <c r="A98" s="48"/>
      <c r="B98" s="12" t="s">
        <v>192</v>
      </c>
      <c r="C98" s="1" t="s">
        <v>193</v>
      </c>
      <c r="D98" s="63">
        <v>105</v>
      </c>
      <c r="E98" s="1">
        <v>22.1</v>
      </c>
      <c r="F98" s="81" t="s">
        <v>28</v>
      </c>
      <c r="H98" s="12">
        <v>6.8</v>
      </c>
      <c r="I98" s="1">
        <v>6.9</v>
      </c>
      <c r="J98" s="1">
        <v>6.1</v>
      </c>
      <c r="K98" s="1">
        <v>7.4</v>
      </c>
      <c r="L98" s="1"/>
      <c r="M98" s="1">
        <v>6.8</v>
      </c>
      <c r="N98" s="1"/>
      <c r="O98" s="1"/>
      <c r="P98" s="1">
        <v>7.9</v>
      </c>
      <c r="Q98" s="1">
        <v>7</v>
      </c>
      <c r="R98" s="1"/>
      <c r="S98" s="126">
        <f t="shared" si="6"/>
        <v>6.9857142857142849</v>
      </c>
      <c r="T98" s="127">
        <f t="shared" si="7"/>
        <v>15.030674846625768</v>
      </c>
      <c r="U98" s="133">
        <f t="shared" si="8"/>
        <v>4.751131221719457</v>
      </c>
      <c r="W98" s="28"/>
    </row>
    <row r="99" spans="1:23">
      <c r="A99" s="48"/>
      <c r="B99" s="12" t="s">
        <v>194</v>
      </c>
      <c r="C99" s="1" t="s">
        <v>195</v>
      </c>
      <c r="D99" s="63">
        <v>44.95</v>
      </c>
      <c r="E99" s="1">
        <v>20.399999999999999</v>
      </c>
      <c r="F99" s="81" t="s">
        <v>196</v>
      </c>
      <c r="H99" s="12">
        <v>6.5</v>
      </c>
      <c r="I99" s="1"/>
      <c r="J99" s="1">
        <v>5.85</v>
      </c>
      <c r="K99" s="1"/>
      <c r="L99" s="1"/>
      <c r="M99" s="1"/>
      <c r="N99" s="1">
        <v>6.8</v>
      </c>
      <c r="O99" s="1"/>
      <c r="P99" s="1"/>
      <c r="Q99" s="1">
        <v>6.6</v>
      </c>
      <c r="R99" s="1"/>
      <c r="S99" s="126">
        <f t="shared" si="6"/>
        <v>6.4375</v>
      </c>
      <c r="T99" s="127">
        <f t="shared" si="7"/>
        <v>6.9825242718446603</v>
      </c>
      <c r="U99" s="133">
        <f t="shared" si="8"/>
        <v>2.2034313725490198</v>
      </c>
      <c r="W99" s="28"/>
    </row>
    <row r="100" spans="1:23">
      <c r="A100" s="48"/>
      <c r="B100" s="12" t="s">
        <v>197</v>
      </c>
      <c r="C100" s="1" t="s">
        <v>198</v>
      </c>
      <c r="D100" s="63">
        <v>79.989999999999995</v>
      </c>
      <c r="E100" s="1">
        <v>22.1</v>
      </c>
      <c r="F100" s="81" t="s">
        <v>26</v>
      </c>
      <c r="H100" s="12">
        <v>7</v>
      </c>
      <c r="I100" s="1">
        <v>7</v>
      </c>
      <c r="J100" s="1">
        <v>7.2</v>
      </c>
      <c r="K100" s="1">
        <v>7.2</v>
      </c>
      <c r="L100" s="1"/>
      <c r="M100" s="1">
        <v>6.8</v>
      </c>
      <c r="N100" s="1">
        <v>6.3</v>
      </c>
      <c r="O100" s="1"/>
      <c r="P100" s="1"/>
      <c r="Q100" s="1">
        <v>7.6</v>
      </c>
      <c r="R100" s="1"/>
      <c r="S100" s="126">
        <f t="shared" si="6"/>
        <v>7.0142857142857133</v>
      </c>
      <c r="T100" s="127">
        <f t="shared" si="7"/>
        <v>11.403869653767822</v>
      </c>
      <c r="U100" s="133">
        <f t="shared" si="8"/>
        <v>3.6194570135746602</v>
      </c>
      <c r="W100" s="28"/>
    </row>
    <row r="101" spans="1:23">
      <c r="A101" s="48"/>
      <c r="B101" s="12" t="s">
        <v>199</v>
      </c>
      <c r="C101" s="1" t="s">
        <v>170</v>
      </c>
      <c r="D101" s="63">
        <v>62.99</v>
      </c>
      <c r="E101" s="1">
        <v>22</v>
      </c>
      <c r="F101" s="81" t="s">
        <v>165</v>
      </c>
      <c r="H101" s="12">
        <v>6.7</v>
      </c>
      <c r="I101" s="1">
        <v>6.7</v>
      </c>
      <c r="J101" s="1">
        <v>6.7</v>
      </c>
      <c r="K101" s="1">
        <v>6.2</v>
      </c>
      <c r="L101" s="1"/>
      <c r="M101" s="1">
        <v>7.2</v>
      </c>
      <c r="N101" s="1">
        <v>7.7</v>
      </c>
      <c r="O101" s="1"/>
      <c r="P101" s="1">
        <v>7.2</v>
      </c>
      <c r="Q101" s="1">
        <v>6.8</v>
      </c>
      <c r="R101" s="1"/>
      <c r="S101" s="126">
        <f t="shared" si="6"/>
        <v>6.9</v>
      </c>
      <c r="T101" s="127">
        <f t="shared" si="7"/>
        <v>9.1289855072463766</v>
      </c>
      <c r="U101" s="133">
        <f t="shared" si="8"/>
        <v>2.8631818181818183</v>
      </c>
      <c r="W101" s="28"/>
    </row>
    <row r="102" spans="1:23">
      <c r="A102" s="48"/>
      <c r="B102" s="12" t="s">
        <v>200</v>
      </c>
      <c r="C102" s="1" t="s">
        <v>201</v>
      </c>
      <c r="D102" s="89">
        <v>54.99</v>
      </c>
      <c r="E102" s="1">
        <v>22</v>
      </c>
      <c r="F102" s="81" t="s">
        <v>14</v>
      </c>
      <c r="H102" s="12">
        <v>6.7</v>
      </c>
      <c r="I102" s="1"/>
      <c r="J102" s="1">
        <v>6.5</v>
      </c>
      <c r="K102" s="1">
        <v>7.3</v>
      </c>
      <c r="L102" s="1"/>
      <c r="M102" s="1"/>
      <c r="N102" s="1">
        <v>7.2</v>
      </c>
      <c r="O102" s="1"/>
      <c r="P102" s="1"/>
      <c r="Q102" s="1">
        <v>7</v>
      </c>
      <c r="R102" s="1"/>
      <c r="S102" s="126">
        <f t="shared" si="6"/>
        <v>6.94</v>
      </c>
      <c r="T102" s="127">
        <f>IFERROR(D103/S102," ")</f>
        <v>7.1902017291066276</v>
      </c>
      <c r="U102" s="133">
        <f>IFERROR(D103/E103," ")</f>
        <v>2.2681818181818181</v>
      </c>
      <c r="W102" s="28"/>
    </row>
    <row r="103" spans="1:23">
      <c r="A103" s="48"/>
      <c r="B103" s="12" t="s">
        <v>202</v>
      </c>
      <c r="C103" s="1" t="s">
        <v>203</v>
      </c>
      <c r="D103" s="63">
        <v>49.9</v>
      </c>
      <c r="E103" s="1">
        <v>22</v>
      </c>
      <c r="F103" s="81" t="s">
        <v>43</v>
      </c>
      <c r="H103" s="12">
        <v>7</v>
      </c>
      <c r="I103" s="1"/>
      <c r="J103" s="1"/>
      <c r="K103" s="1"/>
      <c r="L103" s="1"/>
      <c r="M103" s="1">
        <v>6</v>
      </c>
      <c r="N103" s="1">
        <v>8</v>
      </c>
      <c r="O103" s="1"/>
      <c r="P103" s="1"/>
      <c r="Q103" s="1">
        <v>7</v>
      </c>
      <c r="R103" s="1"/>
      <c r="S103" s="126">
        <f t="shared" si="6"/>
        <v>7</v>
      </c>
      <c r="T103" s="127">
        <f>IFERROR(D104/S103," ")</f>
        <v>9.7142857142857135</v>
      </c>
      <c r="U103" s="133">
        <f>IFERROR(D104/E104," ")</f>
        <v>3.0909090909090908</v>
      </c>
      <c r="W103" s="28"/>
    </row>
    <row r="104" spans="1:23">
      <c r="A104" s="48"/>
      <c r="B104" s="12" t="s">
        <v>204</v>
      </c>
      <c r="C104" s="1" t="s">
        <v>38</v>
      </c>
      <c r="D104" s="63">
        <v>68</v>
      </c>
      <c r="E104" s="1">
        <v>22</v>
      </c>
      <c r="F104" s="81" t="s">
        <v>22</v>
      </c>
      <c r="H104" s="12"/>
      <c r="I104" s="1">
        <v>7</v>
      </c>
      <c r="J104" s="1">
        <v>6.9</v>
      </c>
      <c r="K104" s="1"/>
      <c r="L104" s="1"/>
      <c r="M104" s="1">
        <v>7.7</v>
      </c>
      <c r="N104" s="1">
        <v>7.2</v>
      </c>
      <c r="O104" s="1">
        <v>8</v>
      </c>
      <c r="P104" s="1"/>
      <c r="Q104" s="1">
        <v>7.5</v>
      </c>
      <c r="R104" s="1"/>
      <c r="S104" s="126">
        <f t="shared" si="6"/>
        <v>7.3833333333333329</v>
      </c>
      <c r="T104" s="127">
        <f t="shared" ref="T104:T133" si="9">IFERROR(D104/S104," ")</f>
        <v>9.2099322799097063</v>
      </c>
      <c r="U104" s="133">
        <f t="shared" ref="U104:U132" si="10">IFERROR(D104/E104," ")</f>
        <v>3.0909090909090908</v>
      </c>
      <c r="W104" s="28"/>
    </row>
    <row r="105" spans="1:23">
      <c r="A105" s="48"/>
      <c r="B105" s="12" t="s">
        <v>205</v>
      </c>
      <c r="C105" s="1" t="s">
        <v>206</v>
      </c>
      <c r="D105" s="63">
        <v>57.95</v>
      </c>
      <c r="E105" s="1">
        <v>22</v>
      </c>
      <c r="F105" s="81" t="s">
        <v>36</v>
      </c>
      <c r="H105" s="12">
        <v>6.5</v>
      </c>
      <c r="I105" s="1"/>
      <c r="J105" s="1">
        <v>5.9</v>
      </c>
      <c r="K105" s="1"/>
      <c r="L105" s="1"/>
      <c r="M105" s="1">
        <v>6.3</v>
      </c>
      <c r="N105" s="1">
        <v>6.4</v>
      </c>
      <c r="O105" s="1">
        <v>5.5</v>
      </c>
      <c r="P105" s="1"/>
      <c r="Q105" s="1">
        <v>6.1</v>
      </c>
      <c r="R105" s="1"/>
      <c r="S105" s="126">
        <f t="shared" si="6"/>
        <v>6.1166666666666671</v>
      </c>
      <c r="T105" s="127">
        <f t="shared" si="9"/>
        <v>9.4741144414168943</v>
      </c>
      <c r="U105" s="133">
        <f t="shared" si="10"/>
        <v>2.6340909090909093</v>
      </c>
      <c r="W105" s="28"/>
    </row>
    <row r="106" spans="1:23">
      <c r="A106" s="48"/>
      <c r="B106" s="12" t="s">
        <v>207</v>
      </c>
      <c r="C106" s="1" t="s">
        <v>193</v>
      </c>
      <c r="D106" s="63">
        <v>85.99</v>
      </c>
      <c r="E106" s="1">
        <v>22</v>
      </c>
      <c r="F106" s="81" t="s">
        <v>26</v>
      </c>
      <c r="H106" s="12">
        <v>7</v>
      </c>
      <c r="I106" s="1"/>
      <c r="J106" s="1">
        <v>7.3</v>
      </c>
      <c r="K106" s="1">
        <v>6.9</v>
      </c>
      <c r="L106" s="1"/>
      <c r="M106" s="1">
        <v>7.1</v>
      </c>
      <c r="N106" s="1">
        <v>5.9</v>
      </c>
      <c r="O106" s="1">
        <v>6.5</v>
      </c>
      <c r="P106" s="1"/>
      <c r="Q106" s="1">
        <v>7</v>
      </c>
      <c r="R106" s="1"/>
      <c r="S106" s="126">
        <f t="shared" si="6"/>
        <v>6.8142857142857149</v>
      </c>
      <c r="T106" s="127">
        <f t="shared" si="9"/>
        <v>12.61907756813417</v>
      </c>
      <c r="U106" s="133">
        <f t="shared" si="10"/>
        <v>3.9086363636363632</v>
      </c>
      <c r="W106" s="28"/>
    </row>
    <row r="107" spans="1:23">
      <c r="A107" s="48"/>
      <c r="B107" s="12" t="s">
        <v>208</v>
      </c>
      <c r="C107" t="s">
        <v>30</v>
      </c>
      <c r="D107" s="63">
        <v>53.99</v>
      </c>
      <c r="E107" s="1">
        <v>20</v>
      </c>
      <c r="F107" s="81" t="s">
        <v>165</v>
      </c>
      <c r="H107" s="12">
        <v>7.5</v>
      </c>
      <c r="I107" s="1">
        <v>7.2</v>
      </c>
      <c r="J107" s="1">
        <v>8</v>
      </c>
      <c r="K107" s="1">
        <v>7.5</v>
      </c>
      <c r="L107" s="1"/>
      <c r="M107" s="1">
        <v>8.8000000000000007</v>
      </c>
      <c r="N107" s="1">
        <v>8.5</v>
      </c>
      <c r="O107" s="1">
        <v>8.5</v>
      </c>
      <c r="P107" s="1"/>
      <c r="Q107" s="1">
        <v>8.1</v>
      </c>
      <c r="R107" s="1"/>
      <c r="S107" s="126">
        <f t="shared" si="6"/>
        <v>8.0124999999999993</v>
      </c>
      <c r="T107" s="127">
        <f t="shared" si="9"/>
        <v>6.7382215288611551</v>
      </c>
      <c r="U107" s="133">
        <f t="shared" si="10"/>
        <v>2.6995</v>
      </c>
      <c r="W107" s="28" t="s">
        <v>209</v>
      </c>
    </row>
    <row r="108" spans="1:23">
      <c r="A108" s="48"/>
      <c r="B108" s="12" t="s">
        <v>210</v>
      </c>
      <c r="C108" s="1" t="s">
        <v>211</v>
      </c>
      <c r="D108" s="63">
        <v>61.99</v>
      </c>
      <c r="E108" s="1">
        <v>22</v>
      </c>
      <c r="F108" s="81" t="s">
        <v>14</v>
      </c>
      <c r="H108" s="12">
        <v>7</v>
      </c>
      <c r="I108" s="1"/>
      <c r="J108" s="1">
        <v>7.9</v>
      </c>
      <c r="K108" s="1">
        <v>7.1</v>
      </c>
      <c r="L108" s="1"/>
      <c r="M108" s="1">
        <v>7.7</v>
      </c>
      <c r="N108" s="1">
        <v>8.3000000000000007</v>
      </c>
      <c r="O108" s="1">
        <v>9</v>
      </c>
      <c r="P108" s="1">
        <v>6</v>
      </c>
      <c r="Q108" s="1">
        <v>8</v>
      </c>
      <c r="R108" s="1"/>
      <c r="S108" s="126">
        <f t="shared" si="6"/>
        <v>7.625</v>
      </c>
      <c r="T108" s="127">
        <f t="shared" si="9"/>
        <v>8.1298360655737714</v>
      </c>
      <c r="U108" s="133">
        <f t="shared" si="10"/>
        <v>2.8177272727272729</v>
      </c>
      <c r="W108" s="28"/>
    </row>
    <row r="109" spans="1:23">
      <c r="A109" s="48"/>
      <c r="B109" s="12" t="s">
        <v>212</v>
      </c>
      <c r="C109" s="1" t="s">
        <v>94</v>
      </c>
      <c r="D109" s="63">
        <v>66.95</v>
      </c>
      <c r="E109" s="1">
        <v>24</v>
      </c>
      <c r="F109" s="81" t="s">
        <v>43</v>
      </c>
      <c r="H109" s="12">
        <v>7.5</v>
      </c>
      <c r="I109" s="1"/>
      <c r="J109" s="1">
        <v>7.3</v>
      </c>
      <c r="K109" s="1"/>
      <c r="L109" s="1"/>
      <c r="M109" s="1">
        <v>7.1</v>
      </c>
      <c r="N109" s="1">
        <v>6.5</v>
      </c>
      <c r="O109" s="1"/>
      <c r="P109" s="1"/>
      <c r="Q109" s="1">
        <v>7</v>
      </c>
      <c r="R109" s="1"/>
      <c r="S109" s="126">
        <f t="shared" si="6"/>
        <v>7.08</v>
      </c>
      <c r="T109" s="127">
        <f t="shared" si="9"/>
        <v>9.4562146892655363</v>
      </c>
      <c r="U109" s="133">
        <f t="shared" si="10"/>
        <v>2.7895833333333333</v>
      </c>
      <c r="W109" s="28"/>
    </row>
    <row r="110" spans="1:23">
      <c r="A110" s="48"/>
      <c r="B110" s="12" t="s">
        <v>213</v>
      </c>
      <c r="C110" s="1" t="s">
        <v>94</v>
      </c>
      <c r="D110" s="63">
        <v>65</v>
      </c>
      <c r="E110" s="1">
        <v>16.600000000000001</v>
      </c>
      <c r="F110" s="81" t="s">
        <v>22</v>
      </c>
      <c r="H110" s="12"/>
      <c r="I110" s="1"/>
      <c r="J110" s="1">
        <v>8</v>
      </c>
      <c r="K110" s="1">
        <v>7.9</v>
      </c>
      <c r="L110" s="1"/>
      <c r="M110" s="1">
        <v>7.3</v>
      </c>
      <c r="N110" s="1"/>
      <c r="O110" s="1"/>
      <c r="P110" s="1"/>
      <c r="Q110" s="1">
        <v>8</v>
      </c>
      <c r="R110" s="1"/>
      <c r="S110" s="126">
        <f t="shared" si="6"/>
        <v>7.8</v>
      </c>
      <c r="T110" s="127">
        <f t="shared" si="9"/>
        <v>8.3333333333333339</v>
      </c>
      <c r="U110" s="133">
        <f t="shared" si="10"/>
        <v>3.9156626506024095</v>
      </c>
      <c r="W110" s="28"/>
    </row>
    <row r="111" spans="1:23">
      <c r="A111" s="48"/>
      <c r="B111" s="12" t="s">
        <v>214</v>
      </c>
      <c r="C111" s="1" t="s">
        <v>187</v>
      </c>
      <c r="D111" s="63">
        <v>70.989999999999995</v>
      </c>
      <c r="E111" s="1">
        <v>22</v>
      </c>
      <c r="F111" s="81" t="s">
        <v>36</v>
      </c>
      <c r="H111" s="12">
        <v>7.5</v>
      </c>
      <c r="I111" s="1"/>
      <c r="J111" s="1">
        <v>6.2</v>
      </c>
      <c r="K111" s="1">
        <v>5</v>
      </c>
      <c r="L111" s="1"/>
      <c r="M111" s="1">
        <v>6.8</v>
      </c>
      <c r="N111" s="1">
        <v>5.7</v>
      </c>
      <c r="O111" s="1">
        <v>8</v>
      </c>
      <c r="P111" s="1"/>
      <c r="Q111" s="1">
        <v>6.4</v>
      </c>
      <c r="R111" s="1"/>
      <c r="S111" s="126">
        <f t="shared" si="6"/>
        <v>6.5142857142857142</v>
      </c>
      <c r="T111" s="127">
        <f t="shared" si="9"/>
        <v>10.897587719298246</v>
      </c>
      <c r="U111" s="133">
        <f t="shared" si="10"/>
        <v>3.2268181818181816</v>
      </c>
      <c r="W111" s="28"/>
    </row>
    <row r="112" spans="1:23">
      <c r="A112" s="48"/>
      <c r="B112" s="12" t="s">
        <v>215</v>
      </c>
      <c r="C112" s="1" t="s">
        <v>216</v>
      </c>
      <c r="D112" s="63">
        <v>160</v>
      </c>
      <c r="E112" s="1">
        <v>28.8</v>
      </c>
      <c r="F112" s="81" t="s">
        <v>26</v>
      </c>
      <c r="H112" s="12">
        <v>6.5</v>
      </c>
      <c r="I112" s="1"/>
      <c r="J112" s="1">
        <v>7.3</v>
      </c>
      <c r="K112" s="1">
        <v>7.1</v>
      </c>
      <c r="L112" s="1"/>
      <c r="M112" s="1">
        <v>7.4</v>
      </c>
      <c r="N112" s="1">
        <v>6.3</v>
      </c>
      <c r="O112" s="1">
        <v>5.5</v>
      </c>
      <c r="P112" s="1"/>
      <c r="Q112" s="1">
        <v>7</v>
      </c>
      <c r="R112" s="1"/>
      <c r="S112" s="126">
        <f t="shared" si="6"/>
        <v>6.7285714285714278</v>
      </c>
      <c r="T112" s="127">
        <f t="shared" si="9"/>
        <v>23.7791932059448</v>
      </c>
      <c r="U112" s="133">
        <f t="shared" si="10"/>
        <v>5.5555555555555554</v>
      </c>
      <c r="W112" s="28" t="s">
        <v>217</v>
      </c>
    </row>
    <row r="113" spans="1:23">
      <c r="A113" s="48"/>
      <c r="B113" s="12" t="s">
        <v>218</v>
      </c>
      <c r="C113" s="1" t="s">
        <v>219</v>
      </c>
      <c r="D113" s="63">
        <v>62.99</v>
      </c>
      <c r="E113" s="1">
        <v>11.8</v>
      </c>
      <c r="F113" s="81" t="s">
        <v>165</v>
      </c>
      <c r="H113" s="12">
        <v>6.5</v>
      </c>
      <c r="I113" s="1"/>
      <c r="J113" s="1">
        <v>5.5</v>
      </c>
      <c r="K113" s="1"/>
      <c r="L113" s="1"/>
      <c r="M113" s="1"/>
      <c r="N113" s="1">
        <v>5.6</v>
      </c>
      <c r="O113" s="1"/>
      <c r="P113" s="1"/>
      <c r="Q113" s="1"/>
      <c r="R113" s="1"/>
      <c r="S113" s="126">
        <f t="shared" si="6"/>
        <v>5.8666666666666671</v>
      </c>
      <c r="T113" s="127">
        <f t="shared" si="9"/>
        <v>10.736931818181818</v>
      </c>
      <c r="U113" s="133">
        <f t="shared" si="10"/>
        <v>5.3381355932203389</v>
      </c>
      <c r="W113" s="28"/>
    </row>
    <row r="114" spans="1:23">
      <c r="A114" s="48"/>
      <c r="B114" s="12" t="s">
        <v>220</v>
      </c>
      <c r="C114" s="1" t="s">
        <v>221</v>
      </c>
      <c r="D114" s="63">
        <v>61.99</v>
      </c>
      <c r="E114" s="1">
        <v>20.7</v>
      </c>
      <c r="F114" s="81" t="s">
        <v>14</v>
      </c>
      <c r="H114" s="12">
        <v>6.5</v>
      </c>
      <c r="I114" s="1"/>
      <c r="J114" s="1">
        <v>6.9</v>
      </c>
      <c r="K114" s="1"/>
      <c r="L114" s="1"/>
      <c r="M114" s="1">
        <v>6.9</v>
      </c>
      <c r="N114" s="1">
        <v>8.6</v>
      </c>
      <c r="O114" s="1"/>
      <c r="P114" s="1"/>
      <c r="Q114" s="1">
        <v>7</v>
      </c>
      <c r="R114" s="1"/>
      <c r="S114" s="126">
        <f t="shared" si="6"/>
        <v>7.18</v>
      </c>
      <c r="T114" s="127">
        <f t="shared" si="9"/>
        <v>8.6337047353760443</v>
      </c>
      <c r="U114" s="133">
        <f t="shared" si="10"/>
        <v>2.9946859903381644</v>
      </c>
      <c r="W114" s="28"/>
    </row>
    <row r="115" spans="1:23">
      <c r="A115" s="48"/>
      <c r="B115" s="12" t="s">
        <v>222</v>
      </c>
      <c r="C115" s="1" t="s">
        <v>223</v>
      </c>
      <c r="D115" s="63">
        <v>63.99</v>
      </c>
      <c r="E115" s="1">
        <v>21</v>
      </c>
      <c r="F115" s="81" t="s">
        <v>43</v>
      </c>
      <c r="H115" s="12"/>
      <c r="I115" s="1">
        <v>6</v>
      </c>
      <c r="J115" s="1">
        <v>7.5</v>
      </c>
      <c r="K115" s="1"/>
      <c r="L115" s="1"/>
      <c r="M115" s="1">
        <v>7.4</v>
      </c>
      <c r="N115" s="1">
        <v>7.9</v>
      </c>
      <c r="O115" s="1">
        <v>8</v>
      </c>
      <c r="P115" s="1"/>
      <c r="Q115" s="1">
        <v>6</v>
      </c>
      <c r="R115" s="1"/>
      <c r="S115" s="126">
        <f t="shared" si="6"/>
        <v>7.1333333333333329</v>
      </c>
      <c r="T115" s="127">
        <f t="shared" si="9"/>
        <v>8.9705607476635532</v>
      </c>
      <c r="U115" s="133">
        <f t="shared" si="10"/>
        <v>3.0471428571428572</v>
      </c>
      <c r="W115" s="28"/>
    </row>
    <row r="116" spans="1:23">
      <c r="A116" s="48"/>
      <c r="B116" s="12" t="s">
        <v>224</v>
      </c>
      <c r="C116" s="1" t="s">
        <v>61</v>
      </c>
      <c r="D116" s="63">
        <v>69</v>
      </c>
      <c r="E116" s="1">
        <v>16.600000000000001</v>
      </c>
      <c r="F116" s="81" t="s">
        <v>22</v>
      </c>
      <c r="H116" s="12">
        <v>7.5</v>
      </c>
      <c r="I116" s="1"/>
      <c r="J116" s="1">
        <v>7.6</v>
      </c>
      <c r="K116" s="1">
        <v>7.3</v>
      </c>
      <c r="L116" s="1"/>
      <c r="M116" s="1">
        <v>6.2</v>
      </c>
      <c r="N116" s="1"/>
      <c r="O116" s="1">
        <v>7.5</v>
      </c>
      <c r="P116" s="1"/>
      <c r="Q116" s="1">
        <v>7.5</v>
      </c>
      <c r="R116" s="1"/>
      <c r="S116" s="126">
        <f t="shared" si="6"/>
        <v>7.2666666666666657</v>
      </c>
      <c r="T116" s="127">
        <f t="shared" si="9"/>
        <v>9.4954128440366983</v>
      </c>
      <c r="U116" s="133">
        <f t="shared" si="10"/>
        <v>4.1566265060240957</v>
      </c>
      <c r="W116" s="28"/>
    </row>
    <row r="117" spans="1:23">
      <c r="A117" s="48"/>
      <c r="B117" s="12" t="s">
        <v>225</v>
      </c>
      <c r="C117" s="1" t="s">
        <v>226</v>
      </c>
      <c r="D117" s="63">
        <v>76.989999999999995</v>
      </c>
      <c r="E117" s="1">
        <v>22</v>
      </c>
      <c r="F117" s="81" t="s">
        <v>36</v>
      </c>
      <c r="H117" s="12">
        <v>7.5</v>
      </c>
      <c r="I117" s="1">
        <v>7.5</v>
      </c>
      <c r="J117" s="1">
        <v>8</v>
      </c>
      <c r="K117" s="1">
        <v>6.7</v>
      </c>
      <c r="L117" s="1"/>
      <c r="M117" s="1">
        <v>7.4</v>
      </c>
      <c r="N117" s="1"/>
      <c r="O117" s="1">
        <v>7.5</v>
      </c>
      <c r="P117" s="1">
        <v>8.5</v>
      </c>
      <c r="Q117" s="1">
        <v>8</v>
      </c>
      <c r="R117" s="1"/>
      <c r="S117" s="126">
        <f t="shared" si="6"/>
        <v>7.6375000000000002</v>
      </c>
      <c r="T117" s="127">
        <f t="shared" si="9"/>
        <v>10.08052373158756</v>
      </c>
      <c r="U117" s="133">
        <f t="shared" si="10"/>
        <v>3.4995454545454545</v>
      </c>
      <c r="W117" s="28"/>
    </row>
    <row r="118" spans="1:23">
      <c r="A118" s="48"/>
      <c r="B118" s="12" t="s">
        <v>227</v>
      </c>
      <c r="C118" s="1"/>
      <c r="D118" s="63"/>
      <c r="E118" s="1"/>
      <c r="F118" s="81" t="s">
        <v>26</v>
      </c>
      <c r="H118" s="12"/>
      <c r="I118" s="1"/>
      <c r="J118" s="1">
        <v>5.5</v>
      </c>
      <c r="K118" s="1"/>
      <c r="L118" s="1"/>
      <c r="M118" s="1"/>
      <c r="N118" s="1">
        <v>2.5</v>
      </c>
      <c r="O118" s="1"/>
      <c r="P118" s="1"/>
      <c r="Q118" s="1"/>
      <c r="R118" s="1"/>
      <c r="S118" s="126">
        <f t="shared" si="6"/>
        <v>4</v>
      </c>
      <c r="T118" s="127">
        <f t="shared" si="9"/>
        <v>0</v>
      </c>
      <c r="U118" s="133" t="str">
        <f t="shared" si="10"/>
        <v xml:space="preserve"> </v>
      </c>
      <c r="W118" s="28" t="s">
        <v>228</v>
      </c>
    </row>
    <row r="119" spans="1:23">
      <c r="A119" s="48"/>
      <c r="B119" s="12" t="s">
        <v>229</v>
      </c>
      <c r="C119" s="1" t="s">
        <v>21</v>
      </c>
      <c r="D119" s="63">
        <v>83</v>
      </c>
      <c r="E119" s="1">
        <v>24</v>
      </c>
      <c r="F119" s="81" t="s">
        <v>165</v>
      </c>
      <c r="H119" s="12">
        <v>8</v>
      </c>
      <c r="I119" s="1"/>
      <c r="J119" s="1">
        <v>8.5</v>
      </c>
      <c r="K119" s="1">
        <v>8.1999999999999993</v>
      </c>
      <c r="L119" s="1"/>
      <c r="M119" s="1">
        <v>8.1</v>
      </c>
      <c r="N119" s="1">
        <v>8.6999999999999993</v>
      </c>
      <c r="O119" s="1">
        <v>8</v>
      </c>
      <c r="P119" s="1"/>
      <c r="Q119" s="1">
        <v>8.1999999999999993</v>
      </c>
      <c r="R119" s="1"/>
      <c r="S119" s="126">
        <f t="shared" si="6"/>
        <v>8.2428571428571438</v>
      </c>
      <c r="T119" s="127">
        <f t="shared" si="9"/>
        <v>10.069324090121317</v>
      </c>
      <c r="U119" s="133">
        <f t="shared" si="10"/>
        <v>3.4583333333333335</v>
      </c>
      <c r="W119" s="28"/>
    </row>
    <row r="120" spans="1:23">
      <c r="A120" s="48"/>
      <c r="B120" s="12" t="s">
        <v>230</v>
      </c>
      <c r="C120" s="1" t="s">
        <v>38</v>
      </c>
      <c r="D120" s="63">
        <v>64.989999999999995</v>
      </c>
      <c r="E120" s="1">
        <v>22</v>
      </c>
      <c r="F120" s="81" t="s">
        <v>14</v>
      </c>
      <c r="H120" s="12"/>
      <c r="I120" s="1"/>
      <c r="J120" s="1">
        <v>7.2</v>
      </c>
      <c r="K120" s="1"/>
      <c r="L120" s="1"/>
      <c r="M120" s="1"/>
      <c r="N120" s="1">
        <v>8</v>
      </c>
      <c r="O120" s="1"/>
      <c r="P120" s="1"/>
      <c r="Q120" s="1"/>
      <c r="R120" s="1"/>
      <c r="S120" s="126">
        <f t="shared" si="6"/>
        <v>7.6</v>
      </c>
      <c r="T120" s="127">
        <f t="shared" si="9"/>
        <v>8.5513157894736835</v>
      </c>
      <c r="U120" s="133">
        <f t="shared" si="10"/>
        <v>2.9540909090909087</v>
      </c>
      <c r="W120" s="28"/>
    </row>
    <row r="121" spans="1:23">
      <c r="A121" s="48"/>
      <c r="B121" s="12" t="s">
        <v>231</v>
      </c>
      <c r="C121" s="1" t="s">
        <v>232</v>
      </c>
      <c r="D121" s="63">
        <v>61.95</v>
      </c>
      <c r="E121" s="1">
        <v>22</v>
      </c>
      <c r="F121" s="81" t="s">
        <v>163</v>
      </c>
      <c r="H121" s="12">
        <v>7</v>
      </c>
      <c r="I121" s="1">
        <v>7.9</v>
      </c>
      <c r="J121" s="1">
        <v>8.1999999999999993</v>
      </c>
      <c r="K121" s="1">
        <v>7.5</v>
      </c>
      <c r="L121" s="1">
        <v>8</v>
      </c>
      <c r="M121" s="1">
        <v>7.3</v>
      </c>
      <c r="N121" s="1"/>
      <c r="O121" s="1"/>
      <c r="P121" s="1"/>
      <c r="Q121" s="1">
        <v>8</v>
      </c>
      <c r="R121" s="1"/>
      <c r="S121" s="126">
        <f t="shared" si="6"/>
        <v>7.7</v>
      </c>
      <c r="T121" s="127">
        <f t="shared" si="9"/>
        <v>8.045454545454545</v>
      </c>
      <c r="U121" s="133">
        <f t="shared" si="10"/>
        <v>2.8159090909090909</v>
      </c>
      <c r="W121" s="28"/>
    </row>
    <row r="122" spans="1:23">
      <c r="A122" s="48"/>
      <c r="B122" s="12" t="s">
        <v>233</v>
      </c>
      <c r="C122" s="1" t="s">
        <v>234</v>
      </c>
      <c r="D122" s="63">
        <v>89.99</v>
      </c>
      <c r="E122" s="1">
        <v>23</v>
      </c>
      <c r="F122" s="81" t="s">
        <v>28</v>
      </c>
      <c r="H122" s="12">
        <v>8.6999999999999993</v>
      </c>
      <c r="I122" s="1">
        <v>9</v>
      </c>
      <c r="J122" s="1">
        <v>8</v>
      </c>
      <c r="K122" s="1">
        <v>8.1</v>
      </c>
      <c r="L122" s="1"/>
      <c r="M122" s="1">
        <v>9</v>
      </c>
      <c r="N122" s="1">
        <v>9</v>
      </c>
      <c r="O122" s="1"/>
      <c r="P122" s="1"/>
      <c r="Q122" s="1">
        <v>9</v>
      </c>
      <c r="R122" s="1"/>
      <c r="S122" s="126">
        <f t="shared" si="6"/>
        <v>8.6857142857142851</v>
      </c>
      <c r="T122" s="127">
        <f t="shared" si="9"/>
        <v>10.360690789473685</v>
      </c>
      <c r="U122" s="133">
        <f t="shared" si="10"/>
        <v>3.9126086956521737</v>
      </c>
      <c r="W122" s="28"/>
    </row>
    <row r="123" spans="1:23">
      <c r="A123" s="48"/>
      <c r="B123" s="12" t="s">
        <v>235</v>
      </c>
      <c r="C123" s="1" t="s">
        <v>236</v>
      </c>
      <c r="D123" s="63">
        <v>85</v>
      </c>
      <c r="E123" s="1">
        <v>7.4</v>
      </c>
      <c r="F123" s="81" t="s">
        <v>237</v>
      </c>
      <c r="H123" s="12"/>
      <c r="I123" s="1"/>
      <c r="J123" s="1"/>
      <c r="K123" s="1"/>
      <c r="L123" s="1"/>
      <c r="M123" s="1">
        <v>7.6</v>
      </c>
      <c r="N123" s="1">
        <v>8.5</v>
      </c>
      <c r="O123" s="1"/>
      <c r="P123" s="1"/>
      <c r="Q123" s="1"/>
      <c r="R123" s="1"/>
      <c r="S123" s="126">
        <f t="shared" si="6"/>
        <v>8.0500000000000007</v>
      </c>
      <c r="T123" s="127">
        <f t="shared" si="9"/>
        <v>10.559006211180124</v>
      </c>
      <c r="U123" s="133">
        <f t="shared" si="10"/>
        <v>11.486486486486486</v>
      </c>
      <c r="W123" s="28"/>
    </row>
    <row r="124" spans="1:23">
      <c r="A124" s="48"/>
      <c r="B124" s="12" t="s">
        <v>238</v>
      </c>
      <c r="C124" s="1" t="s">
        <v>170</v>
      </c>
      <c r="D124" s="63">
        <v>55.79</v>
      </c>
      <c r="E124" s="1">
        <v>22</v>
      </c>
      <c r="F124" s="81" t="s">
        <v>43</v>
      </c>
      <c r="H124" s="12"/>
      <c r="I124" s="1"/>
      <c r="J124" s="1">
        <v>7.2</v>
      </c>
      <c r="K124" s="1"/>
      <c r="L124" s="1"/>
      <c r="M124" s="1"/>
      <c r="N124" s="1">
        <v>8</v>
      </c>
      <c r="O124" s="1"/>
      <c r="P124" s="1"/>
      <c r="Q124" s="1"/>
      <c r="R124" s="1"/>
      <c r="S124" s="126">
        <f t="shared" si="6"/>
        <v>7.6</v>
      </c>
      <c r="T124" s="127">
        <f t="shared" si="9"/>
        <v>7.340789473684211</v>
      </c>
      <c r="U124" s="133">
        <f t="shared" si="10"/>
        <v>2.5359090909090907</v>
      </c>
      <c r="W124" s="28"/>
    </row>
    <row r="125" spans="1:23">
      <c r="A125" s="48"/>
      <c r="B125" s="12" t="s">
        <v>239</v>
      </c>
      <c r="C125" s="1" t="s">
        <v>240</v>
      </c>
      <c r="D125" s="63">
        <v>71.95</v>
      </c>
      <c r="E125" s="1">
        <v>22</v>
      </c>
      <c r="F125" s="81" t="s">
        <v>22</v>
      </c>
      <c r="H125" s="12"/>
      <c r="I125" s="1"/>
      <c r="J125" s="1">
        <v>7.3</v>
      </c>
      <c r="K125" s="1"/>
      <c r="L125" s="1"/>
      <c r="M125" s="1"/>
      <c r="N125" s="1"/>
      <c r="O125" s="1"/>
      <c r="P125" s="1"/>
      <c r="Q125" s="1"/>
      <c r="R125" s="1"/>
      <c r="S125" s="126">
        <f t="shared" si="6"/>
        <v>7.3</v>
      </c>
      <c r="T125" s="127">
        <f t="shared" si="9"/>
        <v>9.8561643835616444</v>
      </c>
      <c r="U125" s="133">
        <f t="shared" si="10"/>
        <v>3.2704545454545455</v>
      </c>
      <c r="W125" s="28"/>
    </row>
    <row r="126" spans="1:23">
      <c r="A126" s="48"/>
      <c r="B126" s="12" t="s">
        <v>241</v>
      </c>
      <c r="C126" s="1" t="s">
        <v>242</v>
      </c>
      <c r="D126" s="63">
        <v>99.99</v>
      </c>
      <c r="E126" s="1">
        <v>24.9</v>
      </c>
      <c r="F126" s="81" t="s">
        <v>36</v>
      </c>
      <c r="H126" s="12">
        <v>7.5</v>
      </c>
      <c r="I126" s="1"/>
      <c r="J126" s="1">
        <v>8.1999999999999993</v>
      </c>
      <c r="K126" s="1">
        <v>7.4</v>
      </c>
      <c r="L126" s="1"/>
      <c r="M126" s="1">
        <v>8.3000000000000007</v>
      </c>
      <c r="N126" s="1"/>
      <c r="O126" s="1">
        <v>9</v>
      </c>
      <c r="P126" s="1"/>
      <c r="Q126" s="1">
        <v>8.4</v>
      </c>
      <c r="R126" s="1"/>
      <c r="S126" s="126">
        <f t="shared" si="6"/>
        <v>8.1333333333333346</v>
      </c>
      <c r="T126" s="127">
        <f t="shared" si="9"/>
        <v>12.29385245901639</v>
      </c>
      <c r="U126" s="133">
        <f t="shared" si="10"/>
        <v>4.01566265060241</v>
      </c>
      <c r="W126" s="28"/>
    </row>
    <row r="127" spans="1:23">
      <c r="A127" s="48"/>
      <c r="B127" s="12" t="s">
        <v>243</v>
      </c>
      <c r="C127" s="1" t="s">
        <v>54</v>
      </c>
      <c r="D127" s="63">
        <v>86.9</v>
      </c>
      <c r="E127" s="1">
        <v>22</v>
      </c>
      <c r="F127" s="81" t="s">
        <v>26</v>
      </c>
      <c r="H127" s="12">
        <v>7.5</v>
      </c>
      <c r="I127" s="1"/>
      <c r="J127" s="1"/>
      <c r="K127" s="1">
        <v>6.9</v>
      </c>
      <c r="L127" s="1"/>
      <c r="M127" s="1">
        <v>6.5</v>
      </c>
      <c r="N127" s="1"/>
      <c r="O127" s="1">
        <v>5</v>
      </c>
      <c r="P127" s="1">
        <v>6</v>
      </c>
      <c r="Q127" s="1">
        <v>6</v>
      </c>
      <c r="R127" s="1"/>
      <c r="S127" s="126">
        <f t="shared" si="6"/>
        <v>6.3166666666666664</v>
      </c>
      <c r="T127" s="127">
        <f t="shared" si="9"/>
        <v>13.757255936675463</v>
      </c>
      <c r="U127" s="133">
        <f t="shared" si="10"/>
        <v>3.95</v>
      </c>
      <c r="W127" s="28"/>
    </row>
    <row r="128" spans="1:23">
      <c r="A128" s="48"/>
      <c r="B128" s="12" t="s">
        <v>244</v>
      </c>
      <c r="C128" s="1" t="s">
        <v>245</v>
      </c>
      <c r="D128" s="63">
        <v>119.99</v>
      </c>
      <c r="E128" s="1">
        <v>28</v>
      </c>
      <c r="F128" s="81" t="s">
        <v>165</v>
      </c>
      <c r="H128" s="12">
        <v>7.5</v>
      </c>
      <c r="I128" s="1">
        <v>6.3</v>
      </c>
      <c r="J128" s="1">
        <v>7.5</v>
      </c>
      <c r="K128" s="1">
        <v>7</v>
      </c>
      <c r="L128" s="1"/>
      <c r="M128" s="1">
        <v>7.6</v>
      </c>
      <c r="N128" s="1">
        <v>8.9</v>
      </c>
      <c r="O128" s="1">
        <v>7</v>
      </c>
      <c r="P128" s="1"/>
      <c r="Q128" s="1">
        <v>7.6</v>
      </c>
      <c r="R128" s="1"/>
      <c r="S128" s="126">
        <f t="shared" si="6"/>
        <v>7.4249999999999998</v>
      </c>
      <c r="T128" s="127">
        <f t="shared" si="9"/>
        <v>16.160269360269361</v>
      </c>
      <c r="U128" s="133">
        <f t="shared" si="10"/>
        <v>4.2853571428571424</v>
      </c>
      <c r="W128" s="28"/>
    </row>
    <row r="129" spans="1:23">
      <c r="A129" s="48"/>
      <c r="B129" s="12" t="s">
        <v>246</v>
      </c>
      <c r="C129" s="1" t="s">
        <v>21</v>
      </c>
      <c r="D129" s="63">
        <v>10</v>
      </c>
      <c r="E129" s="1">
        <v>21</v>
      </c>
      <c r="F129" s="81" t="s">
        <v>14</v>
      </c>
      <c r="H129" s="12"/>
      <c r="I129" s="1"/>
      <c r="J129" s="1">
        <v>6.7</v>
      </c>
      <c r="K129" s="1">
        <v>7.8</v>
      </c>
      <c r="L129" s="1"/>
      <c r="M129" s="1">
        <v>7.4</v>
      </c>
      <c r="N129" s="1">
        <v>8.6</v>
      </c>
      <c r="O129" s="1"/>
      <c r="P129" s="1"/>
      <c r="Q129" s="1">
        <v>7.5</v>
      </c>
      <c r="R129" s="1"/>
      <c r="S129" s="126">
        <f t="shared" si="6"/>
        <v>7.6</v>
      </c>
      <c r="T129" s="127">
        <f t="shared" si="9"/>
        <v>1.3157894736842106</v>
      </c>
      <c r="U129" s="133">
        <f t="shared" si="10"/>
        <v>0.47619047619047616</v>
      </c>
      <c r="W129" s="28"/>
    </row>
    <row r="130" spans="1:23">
      <c r="A130" s="48"/>
      <c r="B130" s="12" t="s">
        <v>247</v>
      </c>
      <c r="C130" s="1" t="s">
        <v>240</v>
      </c>
      <c r="D130" s="63">
        <v>73</v>
      </c>
      <c r="E130" s="1">
        <v>22</v>
      </c>
      <c r="F130" s="81" t="s">
        <v>43</v>
      </c>
      <c r="H130" s="12">
        <v>7.5</v>
      </c>
      <c r="I130" s="1">
        <v>5.8</v>
      </c>
      <c r="J130" s="1">
        <v>7</v>
      </c>
      <c r="K130" s="1"/>
      <c r="L130" s="1"/>
      <c r="M130" s="1"/>
      <c r="N130" s="1">
        <v>7.6</v>
      </c>
      <c r="O130" s="1">
        <v>7</v>
      </c>
      <c r="P130" s="1"/>
      <c r="Q130" s="1"/>
      <c r="R130" s="1"/>
      <c r="S130" s="126">
        <f t="shared" si="6"/>
        <v>6.9799999999999995</v>
      </c>
      <c r="T130" s="127">
        <f t="shared" si="9"/>
        <v>10.458452722063038</v>
      </c>
      <c r="U130" s="133">
        <f t="shared" si="10"/>
        <v>3.3181818181818183</v>
      </c>
      <c r="W130" s="28"/>
    </row>
    <row r="131" spans="1:23">
      <c r="A131" s="48"/>
      <c r="B131" s="12" t="s">
        <v>248</v>
      </c>
      <c r="C131" s="1" t="s">
        <v>35</v>
      </c>
      <c r="D131" s="63">
        <v>85</v>
      </c>
      <c r="E131" s="1">
        <v>22</v>
      </c>
      <c r="F131" s="81" t="s">
        <v>22</v>
      </c>
      <c r="H131" s="12"/>
      <c r="I131" s="1"/>
      <c r="J131" s="1">
        <v>7.6</v>
      </c>
      <c r="K131" s="1"/>
      <c r="L131" s="1"/>
      <c r="M131" s="1"/>
      <c r="N131" s="1"/>
      <c r="O131" s="1"/>
      <c r="P131" s="1"/>
      <c r="Q131" s="1"/>
      <c r="R131" s="1"/>
      <c r="S131" s="126">
        <f t="shared" si="6"/>
        <v>7.6</v>
      </c>
      <c r="T131" s="127">
        <f t="shared" si="9"/>
        <v>11.184210526315789</v>
      </c>
      <c r="U131" s="133">
        <f t="shared" si="10"/>
        <v>3.8636363636363638</v>
      </c>
      <c r="W131" s="28"/>
    </row>
    <row r="132" spans="1:23">
      <c r="A132" s="48"/>
      <c r="B132" s="12" t="s">
        <v>249</v>
      </c>
      <c r="C132" s="1" t="s">
        <v>206</v>
      </c>
      <c r="D132" s="63">
        <v>122</v>
      </c>
      <c r="E132" s="1">
        <v>25</v>
      </c>
      <c r="F132" s="81" t="s">
        <v>36</v>
      </c>
      <c r="H132" s="12">
        <v>7.6</v>
      </c>
      <c r="I132" s="1"/>
      <c r="J132" s="1">
        <v>8.3000000000000007</v>
      </c>
      <c r="K132" s="1">
        <v>7.55</v>
      </c>
      <c r="L132" s="1"/>
      <c r="M132" s="1">
        <v>7.7</v>
      </c>
      <c r="N132" s="1">
        <v>9</v>
      </c>
      <c r="O132" s="1"/>
      <c r="P132" s="1"/>
      <c r="Q132" s="1"/>
      <c r="R132" s="1"/>
      <c r="S132" s="126">
        <f t="shared" ref="S132:S197" si="11">IFERROR(AVERAGE(H132:R132),0)</f>
        <v>8.0299999999999994</v>
      </c>
      <c r="T132" s="127">
        <f t="shared" si="9"/>
        <v>15.193026151930262</v>
      </c>
      <c r="U132" s="133">
        <f t="shared" si="10"/>
        <v>4.88</v>
      </c>
      <c r="W132" s="28"/>
    </row>
    <row r="133" spans="1:23">
      <c r="A133" s="48"/>
      <c r="B133" s="12" t="s">
        <v>250</v>
      </c>
      <c r="C133" s="1" t="s">
        <v>240</v>
      </c>
      <c r="D133" s="63">
        <v>77.989999999999995</v>
      </c>
      <c r="E133" s="1">
        <v>22</v>
      </c>
      <c r="F133" s="187" t="s">
        <v>251</v>
      </c>
      <c r="H133" s="12"/>
      <c r="I133" s="1">
        <v>8.1999999999999993</v>
      </c>
      <c r="J133" s="1">
        <v>8.3000000000000007</v>
      </c>
      <c r="K133" s="1">
        <v>8.0250000000000004</v>
      </c>
      <c r="L133" s="1"/>
      <c r="M133" s="1">
        <v>7.9</v>
      </c>
      <c r="N133" s="1">
        <v>8.6</v>
      </c>
      <c r="O133" s="1"/>
      <c r="P133" s="1">
        <v>8</v>
      </c>
      <c r="Q133" s="1"/>
      <c r="R133" s="1"/>
      <c r="S133" s="126">
        <f t="shared" si="11"/>
        <v>8.1708333333333325</v>
      </c>
      <c r="T133" s="127">
        <f t="shared" si="9"/>
        <v>9.5449260581336048</v>
      </c>
      <c r="U133" s="133">
        <f t="shared" ref="U133:U197" si="12">IFERROR(D133/E133," ")</f>
        <v>3.5449999999999999</v>
      </c>
      <c r="W133" s="28"/>
    </row>
    <row r="134" spans="1:23">
      <c r="A134" s="48"/>
      <c r="B134" s="12" t="s">
        <v>252</v>
      </c>
      <c r="C134" s="1" t="s">
        <v>253</v>
      </c>
      <c r="D134" s="63">
        <v>83.99</v>
      </c>
      <c r="E134" s="1">
        <v>22</v>
      </c>
      <c r="F134" s="81" t="s">
        <v>26</v>
      </c>
      <c r="H134" s="12">
        <v>7.6</v>
      </c>
      <c r="I134" s="1"/>
      <c r="J134" s="1"/>
      <c r="K134" s="1">
        <v>7.9</v>
      </c>
      <c r="L134" s="1"/>
      <c r="M134" s="1">
        <v>8.1</v>
      </c>
      <c r="N134" s="1">
        <v>8.9</v>
      </c>
      <c r="O134" s="1">
        <v>8</v>
      </c>
      <c r="P134" s="1">
        <v>8.3000000000000007</v>
      </c>
      <c r="Q134" s="1"/>
      <c r="R134" s="1"/>
      <c r="S134" s="126">
        <f t="shared" si="11"/>
        <v>8.1333333333333329</v>
      </c>
      <c r="T134" s="127">
        <f t="shared" ref="T134:T197" si="13">IFERROR(D134/S134," ")</f>
        <v>10.326639344262295</v>
      </c>
      <c r="U134" s="133">
        <f t="shared" si="12"/>
        <v>3.8177272727272724</v>
      </c>
      <c r="W134" s="28"/>
    </row>
    <row r="135" spans="1:23">
      <c r="A135" s="48"/>
      <c r="B135" s="12" t="s">
        <v>254</v>
      </c>
      <c r="C135" s="1" t="s">
        <v>80</v>
      </c>
      <c r="D135" s="63">
        <v>68.989999999999995</v>
      </c>
      <c r="E135" s="1">
        <v>22</v>
      </c>
      <c r="F135" s="81" t="s">
        <v>165</v>
      </c>
      <c r="H135" s="12">
        <v>6.5</v>
      </c>
      <c r="I135" s="1">
        <v>7.7</v>
      </c>
      <c r="J135" s="1">
        <v>6.5</v>
      </c>
      <c r="K135" s="1">
        <v>7.8</v>
      </c>
      <c r="L135" s="1">
        <v>7</v>
      </c>
      <c r="M135" s="1">
        <v>6.6</v>
      </c>
      <c r="N135" s="1">
        <v>8.1999999999999993</v>
      </c>
      <c r="O135" s="1">
        <v>6</v>
      </c>
      <c r="P135" s="1"/>
      <c r="Q135" s="1">
        <v>7.2</v>
      </c>
      <c r="R135" s="1"/>
      <c r="S135" s="126">
        <f t="shared" si="11"/>
        <v>7.0555555555555554</v>
      </c>
      <c r="T135" s="127">
        <f t="shared" si="13"/>
        <v>9.7781102362204724</v>
      </c>
      <c r="U135" s="133">
        <f t="shared" si="12"/>
        <v>3.1359090909090908</v>
      </c>
      <c r="W135" s="28"/>
    </row>
    <row r="136" spans="1:23">
      <c r="A136" s="48"/>
      <c r="B136" s="12" t="s">
        <v>255</v>
      </c>
      <c r="C136" s="1" t="s">
        <v>54</v>
      </c>
      <c r="D136" s="63">
        <v>58.99</v>
      </c>
      <c r="E136" s="1">
        <v>22</v>
      </c>
      <c r="F136" s="81" t="s">
        <v>256</v>
      </c>
      <c r="H136" s="12"/>
      <c r="I136" s="1"/>
      <c r="J136" s="1">
        <v>5.8</v>
      </c>
      <c r="K136" s="1"/>
      <c r="L136" s="1"/>
      <c r="M136" s="1"/>
      <c r="N136" s="1"/>
      <c r="O136" s="1"/>
      <c r="P136" s="1"/>
      <c r="Q136" s="1"/>
      <c r="R136" s="1"/>
      <c r="S136" s="126">
        <f t="shared" si="11"/>
        <v>5.8</v>
      </c>
      <c r="T136" s="127">
        <f t="shared" si="13"/>
        <v>10.170689655172415</v>
      </c>
      <c r="U136" s="133">
        <f t="shared" si="12"/>
        <v>2.6813636363636366</v>
      </c>
      <c r="W136" s="28"/>
    </row>
    <row r="137" spans="1:23">
      <c r="A137" s="48"/>
      <c r="B137" s="12" t="s">
        <v>257</v>
      </c>
      <c r="C137" s="1" t="s">
        <v>35</v>
      </c>
      <c r="D137" s="63">
        <v>79</v>
      </c>
      <c r="E137" s="1">
        <v>22</v>
      </c>
      <c r="F137" s="81" t="s">
        <v>43</v>
      </c>
      <c r="H137" s="12">
        <v>7.6</v>
      </c>
      <c r="I137" s="1"/>
      <c r="J137" s="1">
        <v>8.6999999999999993</v>
      </c>
      <c r="K137" s="1">
        <v>8.3000000000000007</v>
      </c>
      <c r="L137" s="1"/>
      <c r="M137" s="1">
        <v>8.5</v>
      </c>
      <c r="N137" s="1">
        <v>8.9</v>
      </c>
      <c r="O137" s="1">
        <v>8</v>
      </c>
      <c r="P137" s="1"/>
      <c r="Q137" s="1">
        <v>7.2</v>
      </c>
      <c r="R137" s="1"/>
      <c r="S137" s="126">
        <f t="shared" si="11"/>
        <v>8.1714285714285708</v>
      </c>
      <c r="T137" s="127">
        <f t="shared" si="13"/>
        <v>9.6678321678321684</v>
      </c>
      <c r="U137" s="133">
        <f t="shared" si="12"/>
        <v>3.5909090909090908</v>
      </c>
      <c r="W137" s="28"/>
    </row>
    <row r="138" spans="1:23">
      <c r="A138" s="142" t="s">
        <v>258</v>
      </c>
      <c r="B138" s="95" t="s">
        <v>259</v>
      </c>
      <c r="C138" s="96" t="s">
        <v>260</v>
      </c>
      <c r="D138" s="97">
        <v>139.97999999999999</v>
      </c>
      <c r="E138" s="96">
        <v>36</v>
      </c>
      <c r="F138" s="98" t="s">
        <v>22</v>
      </c>
      <c r="H138" s="12">
        <v>8</v>
      </c>
      <c r="I138" s="1"/>
      <c r="J138" s="1">
        <v>8.5</v>
      </c>
      <c r="K138" s="1">
        <v>8.1999999999999993</v>
      </c>
      <c r="L138" s="1">
        <v>9.1</v>
      </c>
      <c r="M138" s="1">
        <v>7.7</v>
      </c>
      <c r="N138" s="1"/>
      <c r="O138" s="1"/>
      <c r="P138" s="1"/>
      <c r="Q138" s="1">
        <v>8.4</v>
      </c>
      <c r="R138" s="1"/>
      <c r="S138" s="126">
        <f t="shared" si="11"/>
        <v>8.3166666666666664</v>
      </c>
      <c r="T138" s="127">
        <f t="shared" si="13"/>
        <v>16.8312625250501</v>
      </c>
      <c r="U138" s="133">
        <f t="shared" si="12"/>
        <v>3.8883333333333332</v>
      </c>
      <c r="W138" s="99" t="s">
        <v>258</v>
      </c>
    </row>
    <row r="139" spans="1:23">
      <c r="A139" s="142" t="s">
        <v>258</v>
      </c>
      <c r="B139" s="95" t="s">
        <v>261</v>
      </c>
      <c r="C139" s="96" t="s">
        <v>159</v>
      </c>
      <c r="D139" s="97">
        <v>128</v>
      </c>
      <c r="E139" s="96">
        <v>28</v>
      </c>
      <c r="F139" s="98" t="s">
        <v>43</v>
      </c>
      <c r="H139" s="12"/>
      <c r="I139" s="1"/>
      <c r="J139" s="1"/>
      <c r="K139" s="1">
        <v>8.3000000000000007</v>
      </c>
      <c r="L139" s="1">
        <v>7.6</v>
      </c>
      <c r="M139" s="1">
        <v>7.4</v>
      </c>
      <c r="N139" s="1">
        <v>8.1</v>
      </c>
      <c r="O139" s="1"/>
      <c r="P139" s="1">
        <v>8</v>
      </c>
      <c r="Q139" s="1"/>
      <c r="R139" s="1"/>
      <c r="S139" s="126">
        <f t="shared" si="11"/>
        <v>7.88</v>
      </c>
      <c r="T139" s="127">
        <f t="shared" si="13"/>
        <v>16.243654822335024</v>
      </c>
      <c r="U139" s="133">
        <f t="shared" si="12"/>
        <v>4.5714285714285712</v>
      </c>
      <c r="W139" s="99" t="s">
        <v>258</v>
      </c>
    </row>
    <row r="140" spans="1:23">
      <c r="A140" s="142" t="s">
        <v>258</v>
      </c>
      <c r="B140" s="95" t="s">
        <v>262</v>
      </c>
      <c r="C140" s="96" t="s">
        <v>159</v>
      </c>
      <c r="D140" s="97">
        <v>149.99</v>
      </c>
      <c r="E140" s="96">
        <v>25.4</v>
      </c>
      <c r="F140" s="98" t="s">
        <v>36</v>
      </c>
      <c r="H140" s="12">
        <v>7.5</v>
      </c>
      <c r="I140" s="1"/>
      <c r="J140" s="1">
        <v>7.5</v>
      </c>
      <c r="K140" s="1"/>
      <c r="L140" s="1"/>
      <c r="M140" s="1">
        <v>8</v>
      </c>
      <c r="N140" s="1">
        <v>7.5</v>
      </c>
      <c r="O140" s="1">
        <v>8.5</v>
      </c>
      <c r="P140" s="1">
        <v>7.8</v>
      </c>
      <c r="Q140" s="1"/>
      <c r="R140" s="1"/>
      <c r="S140" s="126">
        <f t="shared" si="11"/>
        <v>7.8</v>
      </c>
      <c r="T140" s="127">
        <f t="shared" si="13"/>
        <v>19.22948717948718</v>
      </c>
      <c r="U140" s="133">
        <f t="shared" si="12"/>
        <v>5.9051181102362209</v>
      </c>
      <c r="W140" s="99" t="s">
        <v>258</v>
      </c>
    </row>
    <row r="141" spans="1:23">
      <c r="A141" s="142" t="s">
        <v>258</v>
      </c>
      <c r="B141" s="95" t="s">
        <v>263</v>
      </c>
      <c r="C141" s="96" t="s">
        <v>21</v>
      </c>
      <c r="D141" s="97">
        <v>198</v>
      </c>
      <c r="E141" s="96">
        <v>24</v>
      </c>
      <c r="F141" s="98" t="s">
        <v>26</v>
      </c>
      <c r="H141" s="12"/>
      <c r="I141" s="1"/>
      <c r="J141" s="1">
        <v>8.4499999999999993</v>
      </c>
      <c r="K141" s="1">
        <v>8.8000000000000007</v>
      </c>
      <c r="L141" s="1">
        <v>9.1999999999999993</v>
      </c>
      <c r="M141" s="1">
        <v>8.1</v>
      </c>
      <c r="N141" s="1">
        <v>7.9</v>
      </c>
      <c r="O141" s="1"/>
      <c r="P141" s="1"/>
      <c r="Q141" s="1">
        <v>8</v>
      </c>
      <c r="R141" s="1"/>
      <c r="S141" s="126">
        <f t="shared" si="11"/>
        <v>8.4083333333333332</v>
      </c>
      <c r="T141" s="127">
        <f t="shared" si="13"/>
        <v>23.548067393458872</v>
      </c>
      <c r="U141" s="133">
        <f t="shared" si="12"/>
        <v>8.25</v>
      </c>
      <c r="W141" s="99" t="s">
        <v>258</v>
      </c>
    </row>
    <row r="142" spans="1:23">
      <c r="A142" s="142" t="s">
        <v>258</v>
      </c>
      <c r="B142" s="95" t="s">
        <v>264</v>
      </c>
      <c r="C142" s="96" t="s">
        <v>240</v>
      </c>
      <c r="D142" s="97">
        <v>200</v>
      </c>
      <c r="E142" s="96">
        <v>25</v>
      </c>
      <c r="F142" s="98" t="s">
        <v>165</v>
      </c>
      <c r="H142" s="12">
        <v>2.5</v>
      </c>
      <c r="I142" s="1"/>
      <c r="J142" s="1"/>
      <c r="K142" s="1">
        <v>3</v>
      </c>
      <c r="L142" s="1"/>
      <c r="M142" s="1">
        <v>6</v>
      </c>
      <c r="N142" s="1">
        <v>1.9</v>
      </c>
      <c r="O142" s="1">
        <v>0</v>
      </c>
      <c r="P142" s="1">
        <v>1.9898</v>
      </c>
      <c r="Q142" s="1">
        <v>6</v>
      </c>
      <c r="R142" s="1"/>
      <c r="S142" s="126">
        <f t="shared" si="11"/>
        <v>3.0556857142857146</v>
      </c>
      <c r="T142" s="127">
        <f t="shared" si="13"/>
        <v>65.451757379685645</v>
      </c>
      <c r="U142" s="133">
        <f t="shared" si="12"/>
        <v>8</v>
      </c>
      <c r="W142" s="99" t="s">
        <v>265</v>
      </c>
    </row>
    <row r="143" spans="1:23">
      <c r="A143" s="142" t="s">
        <v>258</v>
      </c>
      <c r="B143" s="95" t="s">
        <v>266</v>
      </c>
      <c r="C143" s="96" t="s">
        <v>240</v>
      </c>
      <c r="D143" s="97">
        <v>135</v>
      </c>
      <c r="E143" s="96">
        <v>22</v>
      </c>
      <c r="F143" s="98" t="s">
        <v>14</v>
      </c>
      <c r="H143" s="12"/>
      <c r="I143" s="1"/>
      <c r="J143" s="1">
        <v>6.5</v>
      </c>
      <c r="K143" s="1"/>
      <c r="L143" s="1"/>
      <c r="M143" s="1">
        <v>7.2</v>
      </c>
      <c r="N143" s="1">
        <v>7.2</v>
      </c>
      <c r="O143" s="1"/>
      <c r="P143" s="1"/>
      <c r="Q143" s="1">
        <v>6.5</v>
      </c>
      <c r="R143" s="1"/>
      <c r="S143" s="126">
        <f t="shared" si="11"/>
        <v>6.85</v>
      </c>
      <c r="T143" s="127">
        <f t="shared" si="13"/>
        <v>19.708029197080293</v>
      </c>
      <c r="U143" s="133">
        <f t="shared" si="12"/>
        <v>6.1363636363636367</v>
      </c>
      <c r="W143" s="99" t="s">
        <v>258</v>
      </c>
    </row>
    <row r="144" spans="1:23">
      <c r="A144" s="48"/>
      <c r="B144" s="12" t="s">
        <v>267</v>
      </c>
      <c r="C144" s="1" t="s">
        <v>260</v>
      </c>
      <c r="D144" s="63">
        <v>75</v>
      </c>
      <c r="E144" s="1">
        <v>22</v>
      </c>
      <c r="F144" s="81" t="s">
        <v>36</v>
      </c>
      <c r="H144" s="12">
        <v>7.5</v>
      </c>
      <c r="I144" s="1"/>
      <c r="J144" s="1">
        <v>7.25</v>
      </c>
      <c r="K144" s="1"/>
      <c r="L144" s="1"/>
      <c r="M144" s="1">
        <v>7.7</v>
      </c>
      <c r="N144" s="1">
        <v>8</v>
      </c>
      <c r="O144" s="1">
        <v>9</v>
      </c>
      <c r="P144" s="1"/>
      <c r="Q144" s="1"/>
      <c r="R144" s="1"/>
      <c r="S144" s="126">
        <f t="shared" si="11"/>
        <v>7.8900000000000006</v>
      </c>
      <c r="T144" s="127">
        <f t="shared" si="13"/>
        <v>9.5057034220532319</v>
      </c>
      <c r="U144" s="133">
        <f t="shared" si="12"/>
        <v>3.4090909090909092</v>
      </c>
      <c r="W144" s="28"/>
    </row>
    <row r="145" spans="1:23">
      <c r="A145" s="48"/>
      <c r="B145" s="12" t="s">
        <v>268</v>
      </c>
      <c r="C145" s="1" t="s">
        <v>269</v>
      </c>
      <c r="D145" s="63">
        <v>69.989999999999995</v>
      </c>
      <c r="E145" s="1">
        <v>22</v>
      </c>
      <c r="F145" s="81" t="s">
        <v>14</v>
      </c>
      <c r="H145" s="12">
        <v>7.5</v>
      </c>
      <c r="I145" s="1"/>
      <c r="J145" s="1"/>
      <c r="K145" s="1"/>
      <c r="L145" s="1"/>
      <c r="M145" s="1">
        <v>6</v>
      </c>
      <c r="N145" s="1">
        <v>6.3</v>
      </c>
      <c r="O145" s="1"/>
      <c r="P145" s="1"/>
      <c r="Q145" s="1">
        <v>7.5</v>
      </c>
      <c r="R145" s="1"/>
      <c r="S145" s="126">
        <f t="shared" si="11"/>
        <v>6.8250000000000002</v>
      </c>
      <c r="T145" s="127">
        <f t="shared" si="13"/>
        <v>10.254945054945054</v>
      </c>
      <c r="U145" s="133">
        <f t="shared" si="12"/>
        <v>3.1813636363636362</v>
      </c>
      <c r="W145" s="28" t="s">
        <v>270</v>
      </c>
    </row>
    <row r="146" spans="1:23">
      <c r="A146" s="48"/>
      <c r="B146" s="12" t="s">
        <v>271</v>
      </c>
      <c r="C146" s="1" t="s">
        <v>272</v>
      </c>
      <c r="D146" s="63">
        <v>109.99</v>
      </c>
      <c r="E146" s="1">
        <v>23.7</v>
      </c>
      <c r="F146" s="81" t="s">
        <v>165</v>
      </c>
      <c r="H146" s="12">
        <v>7.5</v>
      </c>
      <c r="I146" s="1"/>
      <c r="J146" s="1">
        <v>7</v>
      </c>
      <c r="K146" s="1">
        <v>7.8</v>
      </c>
      <c r="L146" s="1"/>
      <c r="M146" s="1">
        <v>8</v>
      </c>
      <c r="N146" s="1">
        <v>9</v>
      </c>
      <c r="O146" s="1"/>
      <c r="P146" s="1"/>
      <c r="Q146" s="1">
        <v>8.5</v>
      </c>
      <c r="R146" s="1"/>
      <c r="S146" s="126">
        <f t="shared" si="11"/>
        <v>7.9666666666666659</v>
      </c>
      <c r="T146" s="127">
        <f t="shared" si="13"/>
        <v>13.806276150627616</v>
      </c>
      <c r="U146" s="133">
        <f t="shared" si="12"/>
        <v>4.6409282700421937</v>
      </c>
      <c r="W146" s="28"/>
    </row>
    <row r="147" spans="1:23">
      <c r="A147" s="48"/>
      <c r="B147" s="12" t="s">
        <v>273</v>
      </c>
      <c r="C147" s="1" t="s">
        <v>49</v>
      </c>
      <c r="D147" s="63">
        <v>88.99</v>
      </c>
      <c r="E147" s="1">
        <v>27.7</v>
      </c>
      <c r="F147" s="187" t="s">
        <v>90</v>
      </c>
      <c r="H147" s="12">
        <v>7.5</v>
      </c>
      <c r="I147" s="1"/>
      <c r="J147" s="1">
        <v>5.5</v>
      </c>
      <c r="K147" s="1">
        <v>7.2</v>
      </c>
      <c r="L147" s="1"/>
      <c r="M147" s="1">
        <v>7.4</v>
      </c>
      <c r="N147" s="1">
        <v>7.9</v>
      </c>
      <c r="O147" s="1">
        <v>7</v>
      </c>
      <c r="P147" s="1"/>
      <c r="Q147" s="1">
        <v>7.4</v>
      </c>
      <c r="R147" s="1">
        <v>4</v>
      </c>
      <c r="S147" s="126">
        <f t="shared" si="11"/>
        <v>6.7374999999999998</v>
      </c>
      <c r="T147" s="127">
        <f t="shared" si="13"/>
        <v>13.208163265306123</v>
      </c>
      <c r="U147" s="133">
        <f t="shared" si="12"/>
        <v>3.2126353790613718</v>
      </c>
      <c r="W147" s="28"/>
    </row>
    <row r="148" spans="1:23">
      <c r="A148" s="48"/>
      <c r="B148" s="12" t="s">
        <v>255</v>
      </c>
      <c r="C148" s="1" t="s">
        <v>35</v>
      </c>
      <c r="D148" s="63">
        <v>58.99</v>
      </c>
      <c r="E148" s="1">
        <v>22</v>
      </c>
      <c r="F148" s="81" t="s">
        <v>43</v>
      </c>
      <c r="H148" s="12">
        <v>7.5</v>
      </c>
      <c r="I148" s="1">
        <v>7.2</v>
      </c>
      <c r="J148" s="1"/>
      <c r="K148" s="1">
        <v>7.8</v>
      </c>
      <c r="L148" s="1"/>
      <c r="M148" s="1">
        <v>7.6</v>
      </c>
      <c r="N148" s="1">
        <v>6.9</v>
      </c>
      <c r="O148" s="1">
        <v>8</v>
      </c>
      <c r="P148" s="1"/>
      <c r="Q148" s="1">
        <v>6.5</v>
      </c>
      <c r="R148" s="1">
        <v>4</v>
      </c>
      <c r="S148" s="126">
        <f t="shared" si="11"/>
        <v>6.9375</v>
      </c>
      <c r="T148" s="127">
        <f t="shared" si="13"/>
        <v>8.5030630630630633</v>
      </c>
      <c r="U148" s="133">
        <f t="shared" si="12"/>
        <v>2.6813636363636366</v>
      </c>
      <c r="W148" s="28"/>
    </row>
    <row r="149" spans="1:23">
      <c r="A149" s="48"/>
      <c r="B149" s="12" t="s">
        <v>257</v>
      </c>
      <c r="C149" s="1" t="s">
        <v>274</v>
      </c>
      <c r="D149" s="63">
        <v>89</v>
      </c>
      <c r="E149" s="1">
        <v>22</v>
      </c>
      <c r="F149" s="81" t="s">
        <v>26</v>
      </c>
      <c r="H149" s="12"/>
      <c r="I149" s="1"/>
      <c r="J149" s="1">
        <v>6.5</v>
      </c>
      <c r="K149" s="1">
        <v>7.6</v>
      </c>
      <c r="L149" s="1"/>
      <c r="M149" s="1"/>
      <c r="N149" s="1">
        <v>7.9779999999999998</v>
      </c>
      <c r="O149" s="1"/>
      <c r="P149" s="1">
        <v>7.5</v>
      </c>
      <c r="Q149" s="1"/>
      <c r="R149" s="1">
        <v>6</v>
      </c>
      <c r="S149" s="126">
        <f t="shared" si="11"/>
        <v>7.1156000000000006</v>
      </c>
      <c r="T149" s="127">
        <f t="shared" si="13"/>
        <v>12.507729495755804</v>
      </c>
      <c r="U149" s="133">
        <f t="shared" si="12"/>
        <v>4.0454545454545459</v>
      </c>
      <c r="W149" s="28"/>
    </row>
    <row r="150" spans="1:23">
      <c r="A150" s="48"/>
      <c r="B150" s="12" t="s">
        <v>275</v>
      </c>
      <c r="C150" s="1" t="s">
        <v>276</v>
      </c>
      <c r="D150" s="63">
        <v>78.989999999999995</v>
      </c>
      <c r="E150" s="1">
        <v>22</v>
      </c>
      <c r="F150" s="81" t="s">
        <v>256</v>
      </c>
      <c r="H150" s="12">
        <v>7.51</v>
      </c>
      <c r="I150" s="1"/>
      <c r="J150" s="1"/>
      <c r="K150" s="1">
        <v>7.9</v>
      </c>
      <c r="L150" s="1"/>
      <c r="M150" s="1"/>
      <c r="N150" s="1">
        <v>9</v>
      </c>
      <c r="O150" s="1">
        <v>10</v>
      </c>
      <c r="P150" s="1"/>
      <c r="Q150" s="1">
        <v>7.5</v>
      </c>
      <c r="R150" s="1">
        <v>9</v>
      </c>
      <c r="S150" s="126">
        <f t="shared" si="11"/>
        <v>8.4849999999999994</v>
      </c>
      <c r="T150" s="127">
        <f t="shared" si="13"/>
        <v>9.3093694755450791</v>
      </c>
      <c r="U150" s="133">
        <f t="shared" si="12"/>
        <v>3.5904545454545453</v>
      </c>
      <c r="W150" s="28"/>
    </row>
    <row r="151" spans="1:23">
      <c r="A151" s="48"/>
      <c r="B151" s="12" t="s">
        <v>277</v>
      </c>
      <c r="C151" s="1"/>
      <c r="D151" s="63"/>
      <c r="E151" s="1"/>
      <c r="F151" s="121" t="s">
        <v>36</v>
      </c>
      <c r="H151" s="12"/>
      <c r="I151" s="1"/>
      <c r="J151" s="1">
        <v>6.5</v>
      </c>
      <c r="K151" s="1"/>
      <c r="L151" s="1"/>
      <c r="M151" s="1"/>
      <c r="N151" s="1"/>
      <c r="O151" s="1"/>
      <c r="P151" s="1"/>
      <c r="Q151" s="1"/>
      <c r="R151" s="1">
        <v>6.5</v>
      </c>
      <c r="S151" s="126">
        <f t="shared" si="11"/>
        <v>6.5</v>
      </c>
      <c r="T151" s="127">
        <f t="shared" si="13"/>
        <v>0</v>
      </c>
      <c r="U151" s="133" t="str">
        <f t="shared" si="12"/>
        <v xml:space="preserve"> </v>
      </c>
      <c r="W151" s="28"/>
    </row>
    <row r="152" spans="1:23">
      <c r="A152" s="48"/>
      <c r="B152" s="12" t="s">
        <v>278</v>
      </c>
      <c r="C152" s="1" t="s">
        <v>54</v>
      </c>
      <c r="D152" s="63">
        <v>75.900000000000006</v>
      </c>
      <c r="E152" s="1" t="s">
        <v>279</v>
      </c>
      <c r="F152" s="81" t="s">
        <v>14</v>
      </c>
      <c r="H152" s="12">
        <v>7.5</v>
      </c>
      <c r="I152" s="1"/>
      <c r="J152" s="1"/>
      <c r="K152" s="1"/>
      <c r="L152" s="1"/>
      <c r="M152" s="1"/>
      <c r="N152" s="1">
        <v>6.4</v>
      </c>
      <c r="O152" s="1"/>
      <c r="P152" s="1"/>
      <c r="Q152" s="1"/>
      <c r="R152" s="1">
        <v>6</v>
      </c>
      <c r="S152" s="126">
        <f t="shared" si="11"/>
        <v>6.6333333333333329</v>
      </c>
      <c r="T152" s="127">
        <f t="shared" si="13"/>
        <v>11.442211055276383</v>
      </c>
      <c r="U152" s="133" t="str">
        <f t="shared" si="12"/>
        <v xml:space="preserve"> </v>
      </c>
      <c r="W152" s="28"/>
    </row>
    <row r="153" spans="1:23">
      <c r="A153" s="48"/>
      <c r="B153" s="12" t="s">
        <v>280</v>
      </c>
      <c r="C153" s="1" t="s">
        <v>281</v>
      </c>
      <c r="D153" s="63">
        <v>26.99</v>
      </c>
      <c r="E153" s="1">
        <v>3.8</v>
      </c>
      <c r="F153" s="81" t="s">
        <v>256</v>
      </c>
      <c r="H153" s="12">
        <v>7.5</v>
      </c>
      <c r="I153" s="1"/>
      <c r="J153" s="1">
        <v>7</v>
      </c>
      <c r="K153" s="1"/>
      <c r="L153" s="1"/>
      <c r="M153" s="1">
        <v>7.8</v>
      </c>
      <c r="N153" s="1">
        <v>7.3</v>
      </c>
      <c r="O153" s="1">
        <v>8</v>
      </c>
      <c r="P153" s="1"/>
      <c r="Q153" s="1">
        <v>7</v>
      </c>
      <c r="R153" s="1">
        <v>6</v>
      </c>
      <c r="S153" s="126">
        <f t="shared" si="11"/>
        <v>7.2285714285714286</v>
      </c>
      <c r="T153" s="127">
        <f t="shared" si="13"/>
        <v>3.7337944664031619</v>
      </c>
      <c r="U153" s="133">
        <f t="shared" si="12"/>
        <v>7.102631578947368</v>
      </c>
      <c r="W153" s="28"/>
    </row>
    <row r="154" spans="1:23">
      <c r="A154" s="48"/>
      <c r="B154" s="12" t="s">
        <v>282</v>
      </c>
      <c r="C154" s="1" t="s">
        <v>283</v>
      </c>
      <c r="D154" s="64">
        <v>49.95</v>
      </c>
      <c r="E154" s="1">
        <v>6</v>
      </c>
      <c r="F154" s="81" t="s">
        <v>43</v>
      </c>
      <c r="H154" s="12">
        <v>7.5</v>
      </c>
      <c r="I154" s="1"/>
      <c r="J154" s="1">
        <v>6.5</v>
      </c>
      <c r="K154" s="1"/>
      <c r="L154" s="1"/>
      <c r="M154" s="1">
        <v>6.8</v>
      </c>
      <c r="N154" s="1">
        <v>6</v>
      </c>
      <c r="O154" s="1">
        <v>7</v>
      </c>
      <c r="P154" s="1"/>
      <c r="Q154" s="1">
        <v>7</v>
      </c>
      <c r="R154" s="1">
        <v>5</v>
      </c>
      <c r="S154" s="126">
        <f>IFERROR(AVERAGE(H154:R154),0)</f>
        <v>6.5428571428571427</v>
      </c>
      <c r="T154" s="127">
        <f t="shared" si="13"/>
        <v>7.6342794759825336</v>
      </c>
      <c r="U154" s="133">
        <f t="shared" si="12"/>
        <v>8.3250000000000011</v>
      </c>
      <c r="W154" s="28"/>
    </row>
    <row r="155" spans="1:23">
      <c r="A155" s="48"/>
      <c r="B155" s="12" t="s">
        <v>284</v>
      </c>
      <c r="C155" s="4" t="s">
        <v>285</v>
      </c>
      <c r="D155" s="63">
        <v>86.99</v>
      </c>
      <c r="E155" s="34">
        <v>22</v>
      </c>
      <c r="F155" s="81" t="s">
        <v>165</v>
      </c>
      <c r="H155" s="12"/>
      <c r="I155" s="1"/>
      <c r="J155" s="1"/>
      <c r="K155" s="1">
        <v>8</v>
      </c>
      <c r="L155" s="1"/>
      <c r="M155" s="1">
        <v>8.1</v>
      </c>
      <c r="N155" s="1">
        <v>8.9</v>
      </c>
      <c r="O155" s="1">
        <v>7</v>
      </c>
      <c r="P155" s="1"/>
      <c r="Q155" s="1">
        <v>7.5</v>
      </c>
      <c r="R155" s="1">
        <v>8.1999999999999993</v>
      </c>
      <c r="S155" s="126">
        <f>IFERROR(AVERAGE(H155:R155),0)</f>
        <v>7.95</v>
      </c>
      <c r="T155" s="127">
        <f t="shared" si="13"/>
        <v>10.942138364779874</v>
      </c>
      <c r="U155" s="133">
        <f t="shared" si="12"/>
        <v>3.9540909090909087</v>
      </c>
      <c r="W155" s="28"/>
    </row>
    <row r="156" spans="1:23">
      <c r="A156" s="48"/>
      <c r="B156" s="12" t="s">
        <v>286</v>
      </c>
      <c r="C156" s="4" t="s">
        <v>80</v>
      </c>
      <c r="D156" s="63">
        <v>65</v>
      </c>
      <c r="E156" s="34">
        <v>22</v>
      </c>
      <c r="F156" s="81" t="s">
        <v>43</v>
      </c>
      <c r="H156" s="12">
        <v>7.5</v>
      </c>
      <c r="I156" s="1"/>
      <c r="J156" s="1"/>
      <c r="K156" s="1">
        <v>7.69</v>
      </c>
      <c r="L156" s="1"/>
      <c r="M156" s="1"/>
      <c r="N156" s="1">
        <v>7</v>
      </c>
      <c r="O156" s="1"/>
      <c r="P156" s="1">
        <v>8</v>
      </c>
      <c r="Q156" s="1">
        <v>7.8</v>
      </c>
      <c r="R156" s="1">
        <v>7</v>
      </c>
      <c r="S156" s="126">
        <f t="shared" si="11"/>
        <v>7.498333333333334</v>
      </c>
      <c r="T156" s="127">
        <f t="shared" si="13"/>
        <v>8.6685930206712598</v>
      </c>
      <c r="U156" s="133">
        <f t="shared" si="12"/>
        <v>2.9545454545454546</v>
      </c>
      <c r="W156" s="28"/>
    </row>
    <row r="157" spans="1:23">
      <c r="A157" s="48"/>
      <c r="B157" s="12" t="s">
        <v>37</v>
      </c>
      <c r="C157" s="1" t="s">
        <v>38</v>
      </c>
      <c r="D157" s="122">
        <v>69</v>
      </c>
      <c r="E157" s="1"/>
      <c r="F157" s="81" t="s">
        <v>163</v>
      </c>
      <c r="H157" s="1"/>
      <c r="I157" s="1"/>
      <c r="J157" s="1"/>
      <c r="K157" s="1"/>
      <c r="L157" s="1"/>
      <c r="M157" s="1">
        <v>6.6</v>
      </c>
      <c r="N157" s="1">
        <v>6.6</v>
      </c>
      <c r="O157" s="1"/>
      <c r="P157" s="1"/>
      <c r="Q157" s="1"/>
      <c r="R157" s="1">
        <v>7.3</v>
      </c>
      <c r="S157" s="126">
        <f t="shared" si="11"/>
        <v>6.833333333333333</v>
      </c>
      <c r="T157" s="127">
        <f t="shared" si="13"/>
        <v>10.097560975609756</v>
      </c>
      <c r="U157" s="133" t="str">
        <f t="shared" si="12"/>
        <v xml:space="preserve"> </v>
      </c>
      <c r="W157" s="28"/>
    </row>
    <row r="158" spans="1:23">
      <c r="A158" s="48"/>
      <c r="B158" s="25" t="s">
        <v>287</v>
      </c>
      <c r="C158" s="26" t="s">
        <v>288</v>
      </c>
      <c r="D158" s="64">
        <v>78.989999999999995</v>
      </c>
      <c r="E158" s="26">
        <v>19</v>
      </c>
      <c r="F158" s="82" t="s">
        <v>26</v>
      </c>
      <c r="H158" s="1"/>
      <c r="I158" s="1"/>
      <c r="J158" s="1"/>
      <c r="K158" s="1">
        <v>8.3000000000000007</v>
      </c>
      <c r="L158" s="1"/>
      <c r="M158" s="1"/>
      <c r="N158" s="1">
        <v>8.9</v>
      </c>
      <c r="O158" s="1"/>
      <c r="P158" s="1"/>
      <c r="Q158" s="1"/>
      <c r="R158" s="1"/>
      <c r="S158" s="126">
        <f t="shared" si="11"/>
        <v>8.6000000000000014</v>
      </c>
      <c r="T158" s="127">
        <f t="shared" si="13"/>
        <v>9.1848837209302303</v>
      </c>
      <c r="U158" s="133">
        <f t="shared" si="12"/>
        <v>4.1573684210526309</v>
      </c>
      <c r="V158" s="24"/>
      <c r="W158" s="20"/>
    </row>
    <row r="159" spans="1:23">
      <c r="A159" s="48"/>
      <c r="B159" s="12" t="s">
        <v>289</v>
      </c>
      <c r="C159" s="1" t="s">
        <v>49</v>
      </c>
      <c r="D159" s="63">
        <v>78.989999999999995</v>
      </c>
      <c r="E159" s="1">
        <v>22</v>
      </c>
      <c r="F159" s="81" t="s">
        <v>36</v>
      </c>
      <c r="H159" s="1">
        <v>7.5</v>
      </c>
      <c r="I159" s="1"/>
      <c r="J159" s="1">
        <v>5.7</v>
      </c>
      <c r="K159" s="1">
        <v>7.5</v>
      </c>
      <c r="L159" s="1"/>
      <c r="M159" s="1">
        <v>7</v>
      </c>
      <c r="N159" s="1">
        <v>8.6</v>
      </c>
      <c r="O159" s="1"/>
      <c r="P159" s="1"/>
      <c r="Q159" s="1">
        <v>5.5</v>
      </c>
      <c r="R159" s="1"/>
      <c r="S159" s="126">
        <f t="shared" si="11"/>
        <v>6.9666666666666659</v>
      </c>
      <c r="T159" s="127">
        <f t="shared" si="13"/>
        <v>11.338277511961723</v>
      </c>
      <c r="U159" s="133">
        <f t="shared" si="12"/>
        <v>3.5904545454545453</v>
      </c>
      <c r="V159" s="24"/>
      <c r="W159" s="20"/>
    </row>
    <row r="160" spans="1:23">
      <c r="A160" s="48"/>
      <c r="B160" s="12" t="s">
        <v>290</v>
      </c>
      <c r="C160" s="140" t="s">
        <v>38</v>
      </c>
      <c r="D160" s="63">
        <v>75</v>
      </c>
      <c r="E160" s="1">
        <v>22</v>
      </c>
      <c r="F160" s="81" t="s">
        <v>22</v>
      </c>
      <c r="H160" s="1">
        <v>7.5</v>
      </c>
      <c r="I160" s="1">
        <v>4</v>
      </c>
      <c r="J160" s="1">
        <v>7.3</v>
      </c>
      <c r="K160" s="1">
        <v>3</v>
      </c>
      <c r="L160" s="1"/>
      <c r="M160" s="1"/>
      <c r="N160" s="1">
        <v>7</v>
      </c>
      <c r="O160" s="1"/>
      <c r="P160" s="1"/>
      <c r="Q160" s="1">
        <v>6</v>
      </c>
      <c r="R160" s="1"/>
      <c r="S160" s="126">
        <f t="shared" si="11"/>
        <v>5.8</v>
      </c>
      <c r="T160" s="127">
        <f t="shared" si="13"/>
        <v>12.931034482758621</v>
      </c>
      <c r="U160" s="133">
        <f t="shared" si="12"/>
        <v>3.4090909090909092</v>
      </c>
      <c r="V160" s="24"/>
      <c r="W160" s="20"/>
    </row>
    <row r="161" spans="1:23">
      <c r="A161" s="48"/>
      <c r="B161" s="12" t="s">
        <v>291</v>
      </c>
      <c r="C161" s="63" t="s">
        <v>150</v>
      </c>
      <c r="D161" s="63">
        <v>79.989999999999995</v>
      </c>
      <c r="E161" s="1">
        <v>22</v>
      </c>
      <c r="F161" s="81" t="s">
        <v>14</v>
      </c>
      <c r="H161" s="1">
        <v>7.5</v>
      </c>
      <c r="I161" s="1"/>
      <c r="J161" s="1">
        <v>8</v>
      </c>
      <c r="K161" s="1"/>
      <c r="L161" s="1"/>
      <c r="M161" s="1">
        <v>7.9</v>
      </c>
      <c r="N161" s="1">
        <v>8.1999999999999993</v>
      </c>
      <c r="O161" s="1"/>
      <c r="P161" s="1"/>
      <c r="Q161" s="1">
        <v>8</v>
      </c>
      <c r="R161" s="1"/>
      <c r="S161" s="126">
        <f t="shared" si="11"/>
        <v>7.919999999999999</v>
      </c>
      <c r="T161" s="127">
        <f t="shared" si="13"/>
        <v>10.099747474747476</v>
      </c>
      <c r="U161" s="133">
        <f t="shared" si="12"/>
        <v>3.6359090909090908</v>
      </c>
      <c r="V161" s="24"/>
      <c r="W161" s="20"/>
    </row>
    <row r="162" spans="1:23">
      <c r="A162" s="48"/>
      <c r="B162" s="12" t="s">
        <v>292</v>
      </c>
      <c r="C162" s="63" t="s">
        <v>94</v>
      </c>
      <c r="D162" s="63"/>
      <c r="E162" s="1"/>
      <c r="F162" s="81" t="s">
        <v>256</v>
      </c>
      <c r="H162" s="1"/>
      <c r="I162" s="1"/>
      <c r="J162" s="1"/>
      <c r="K162" s="1"/>
      <c r="L162" s="1"/>
      <c r="M162" s="1">
        <v>7.2</v>
      </c>
      <c r="N162" s="1">
        <v>7</v>
      </c>
      <c r="O162" s="1"/>
      <c r="P162" s="1"/>
      <c r="Q162" s="1">
        <v>7</v>
      </c>
      <c r="R162" s="1">
        <v>6</v>
      </c>
      <c r="S162" s="126">
        <f t="shared" si="11"/>
        <v>6.8</v>
      </c>
      <c r="T162" s="127">
        <f t="shared" si="13"/>
        <v>0</v>
      </c>
      <c r="U162" s="133" t="str">
        <f t="shared" si="12"/>
        <v xml:space="preserve"> </v>
      </c>
      <c r="V162" s="24"/>
      <c r="W162" s="20"/>
    </row>
    <row r="163" spans="1:23">
      <c r="A163" s="48"/>
      <c r="B163" s="12" t="s">
        <v>293</v>
      </c>
      <c r="C163" s="63" t="s">
        <v>201</v>
      </c>
      <c r="D163" s="63">
        <v>55.95</v>
      </c>
      <c r="E163" s="1">
        <v>22</v>
      </c>
      <c r="F163" s="81" t="s">
        <v>43</v>
      </c>
      <c r="H163" s="1"/>
      <c r="I163" s="1"/>
      <c r="J163" s="1"/>
      <c r="K163" s="1">
        <v>7</v>
      </c>
      <c r="L163" s="1"/>
      <c r="M163" s="1">
        <v>7.7</v>
      </c>
      <c r="N163" s="1">
        <v>7.2</v>
      </c>
      <c r="O163" s="1"/>
      <c r="P163" s="1"/>
      <c r="Q163" s="1"/>
      <c r="R163" s="1">
        <v>8.5</v>
      </c>
      <c r="S163" s="126">
        <f t="shared" si="11"/>
        <v>7.6</v>
      </c>
      <c r="T163" s="127">
        <f t="shared" si="13"/>
        <v>7.3618421052631584</v>
      </c>
      <c r="U163" s="133">
        <f t="shared" si="12"/>
        <v>2.5431818181818184</v>
      </c>
      <c r="V163" s="24"/>
      <c r="W163" s="20"/>
    </row>
    <row r="164" spans="1:23">
      <c r="A164" s="48"/>
      <c r="B164" s="12" t="s">
        <v>294</v>
      </c>
      <c r="C164" s="63" t="s">
        <v>295</v>
      </c>
      <c r="D164" s="63">
        <v>82.99</v>
      </c>
      <c r="E164" s="1">
        <v>22</v>
      </c>
      <c r="F164" s="81" t="s">
        <v>165</v>
      </c>
      <c r="H164" s="1">
        <v>7.5</v>
      </c>
      <c r="I164" s="1">
        <v>5.8</v>
      </c>
      <c r="J164" s="1">
        <v>6</v>
      </c>
      <c r="K164" s="1">
        <v>7</v>
      </c>
      <c r="L164" s="1"/>
      <c r="M164" s="1">
        <v>6.5</v>
      </c>
      <c r="N164" s="1"/>
      <c r="O164" s="1">
        <v>5</v>
      </c>
      <c r="P164" s="1"/>
      <c r="Q164" s="1">
        <v>6.5</v>
      </c>
      <c r="R164" s="1">
        <v>4</v>
      </c>
      <c r="S164" s="126">
        <f t="shared" si="11"/>
        <v>6.0374999999999996</v>
      </c>
      <c r="T164" s="127">
        <f t="shared" si="13"/>
        <v>13.745755693581781</v>
      </c>
      <c r="U164" s="133">
        <f t="shared" si="12"/>
        <v>3.772272727272727</v>
      </c>
      <c r="V164" s="24"/>
      <c r="W164" s="20"/>
    </row>
    <row r="165" spans="1:23">
      <c r="A165" s="48"/>
      <c r="B165" s="12" t="s">
        <v>296</v>
      </c>
      <c r="C165" s="63" t="s">
        <v>240</v>
      </c>
      <c r="D165" s="63">
        <v>150</v>
      </c>
      <c r="E165" s="1">
        <v>22</v>
      </c>
      <c r="F165" s="81" t="s">
        <v>237</v>
      </c>
      <c r="H165" s="1">
        <v>7.5</v>
      </c>
      <c r="I165" s="1"/>
      <c r="J165" s="1">
        <v>7.8</v>
      </c>
      <c r="K165" s="1">
        <v>8</v>
      </c>
      <c r="L165" s="1"/>
      <c r="M165" s="1">
        <v>8.4</v>
      </c>
      <c r="N165" s="1">
        <v>8</v>
      </c>
      <c r="O165" s="1"/>
      <c r="P165" s="1"/>
      <c r="Q165" s="1">
        <v>7.6</v>
      </c>
      <c r="R165" s="1"/>
      <c r="S165" s="126">
        <f t="shared" si="11"/>
        <v>7.8833333333333337</v>
      </c>
      <c r="T165" s="127">
        <f t="shared" si="13"/>
        <v>19.027484143763214</v>
      </c>
      <c r="U165" s="133">
        <f t="shared" si="12"/>
        <v>6.8181818181818183</v>
      </c>
      <c r="V165" s="24"/>
      <c r="W165" s="20"/>
    </row>
    <row r="166" spans="1:23">
      <c r="A166" s="48"/>
      <c r="B166" s="12" t="s">
        <v>297</v>
      </c>
      <c r="C166" s="63" t="s">
        <v>298</v>
      </c>
      <c r="D166" s="63">
        <v>85</v>
      </c>
      <c r="E166" s="1">
        <v>24.3</v>
      </c>
      <c r="F166" s="81" t="s">
        <v>26</v>
      </c>
      <c r="H166" s="1">
        <v>7.5</v>
      </c>
      <c r="I166" s="1"/>
      <c r="J166" s="1">
        <v>6.2</v>
      </c>
      <c r="K166" s="1"/>
      <c r="L166" s="1"/>
      <c r="M166" s="1">
        <v>6.7</v>
      </c>
      <c r="N166" s="1">
        <v>7.98</v>
      </c>
      <c r="O166" s="1"/>
      <c r="P166" s="1"/>
      <c r="Q166" s="1">
        <v>7.5</v>
      </c>
      <c r="R166" s="1">
        <v>5</v>
      </c>
      <c r="S166" s="126">
        <f t="shared" si="11"/>
        <v>6.8133333333333326</v>
      </c>
      <c r="T166" s="127">
        <f t="shared" si="13"/>
        <v>12.475538160469668</v>
      </c>
      <c r="U166" s="133">
        <f t="shared" si="12"/>
        <v>3.4979423868312756</v>
      </c>
      <c r="V166" s="24"/>
      <c r="W166" s="20" t="s">
        <v>299</v>
      </c>
    </row>
    <row r="167" spans="1:23">
      <c r="A167" s="48"/>
      <c r="B167" s="12" t="s">
        <v>300</v>
      </c>
      <c r="C167" s="63" t="s">
        <v>301</v>
      </c>
      <c r="D167" s="63">
        <v>64.95</v>
      </c>
      <c r="E167" s="1">
        <v>25</v>
      </c>
      <c r="F167" s="81" t="s">
        <v>36</v>
      </c>
      <c r="H167" s="1">
        <v>7.5</v>
      </c>
      <c r="I167" s="1"/>
      <c r="J167" s="1">
        <v>7</v>
      </c>
      <c r="K167" s="1">
        <v>7.4</v>
      </c>
      <c r="L167" s="1"/>
      <c r="M167" s="1"/>
      <c r="N167" s="1">
        <v>8.9</v>
      </c>
      <c r="O167" s="1"/>
      <c r="P167" s="1"/>
      <c r="Q167" s="1">
        <v>8</v>
      </c>
      <c r="R167" s="1">
        <v>6</v>
      </c>
      <c r="S167" s="126">
        <f t="shared" si="11"/>
        <v>7.4666666666666659</v>
      </c>
      <c r="T167" s="127">
        <f t="shared" si="13"/>
        <v>8.6986607142857153</v>
      </c>
      <c r="U167" s="133">
        <f t="shared" si="12"/>
        <v>2.5980000000000003</v>
      </c>
      <c r="V167" s="24"/>
      <c r="W167" s="20"/>
    </row>
    <row r="168" spans="1:23">
      <c r="A168" s="48"/>
      <c r="B168" s="12" t="s">
        <v>302</v>
      </c>
      <c r="C168" s="63" t="s">
        <v>260</v>
      </c>
      <c r="D168" s="63">
        <v>84.9</v>
      </c>
      <c r="E168" s="1">
        <v>24.4</v>
      </c>
      <c r="F168" s="81" t="s">
        <v>22</v>
      </c>
      <c r="H168" s="1"/>
      <c r="I168" s="1"/>
      <c r="J168" s="1">
        <v>7.1</v>
      </c>
      <c r="K168" s="1"/>
      <c r="L168" s="1"/>
      <c r="M168" s="1"/>
      <c r="N168" s="1">
        <v>7</v>
      </c>
      <c r="O168" s="1"/>
      <c r="P168" s="1"/>
      <c r="Q168" s="1"/>
      <c r="R168" s="1">
        <v>6.5</v>
      </c>
      <c r="S168" s="126">
        <f t="shared" si="11"/>
        <v>6.8666666666666671</v>
      </c>
      <c r="T168" s="127">
        <f t="shared" si="13"/>
        <v>12.364077669902912</v>
      </c>
      <c r="U168" s="133">
        <f t="shared" si="12"/>
        <v>3.4795081967213117</v>
      </c>
      <c r="V168" s="24"/>
      <c r="W168" s="20"/>
    </row>
    <row r="169" spans="1:23">
      <c r="A169" s="48"/>
      <c r="B169" s="12" t="s">
        <v>303</v>
      </c>
      <c r="C169" s="63" t="s">
        <v>240</v>
      </c>
      <c r="D169" s="63"/>
      <c r="E169" s="1">
        <v>25.4</v>
      </c>
      <c r="F169" s="81" t="s">
        <v>237</v>
      </c>
      <c r="H169" s="1">
        <v>8</v>
      </c>
      <c r="I169" s="1"/>
      <c r="J169" s="1">
        <v>8.5</v>
      </c>
      <c r="K169" s="1"/>
      <c r="L169" s="1">
        <v>8.9</v>
      </c>
      <c r="M169" s="1">
        <v>8.4</v>
      </c>
      <c r="N169" s="1">
        <v>8.9</v>
      </c>
      <c r="O169" s="1"/>
      <c r="P169" s="1"/>
      <c r="Q169" s="1"/>
      <c r="R169" s="1">
        <v>8.5</v>
      </c>
      <c r="S169" s="126">
        <f t="shared" si="11"/>
        <v>8.5333333333333332</v>
      </c>
      <c r="T169" s="127">
        <f t="shared" si="13"/>
        <v>0</v>
      </c>
      <c r="U169" s="133">
        <f t="shared" si="12"/>
        <v>0</v>
      </c>
      <c r="V169" s="24"/>
      <c r="W169" s="20"/>
    </row>
    <row r="170" spans="1:23">
      <c r="A170" s="48"/>
      <c r="B170" s="12" t="s">
        <v>304</v>
      </c>
      <c r="C170" s="63" t="s">
        <v>305</v>
      </c>
      <c r="D170" s="63">
        <v>67</v>
      </c>
      <c r="E170" s="1">
        <v>20</v>
      </c>
      <c r="F170" s="81" t="s">
        <v>14</v>
      </c>
      <c r="H170" s="1">
        <v>7.5</v>
      </c>
      <c r="I170" s="1"/>
      <c r="J170" s="1">
        <v>5.8</v>
      </c>
      <c r="K170" s="1"/>
      <c r="L170" s="1"/>
      <c r="M170" s="1"/>
      <c r="N170" s="1">
        <v>7.8</v>
      </c>
      <c r="O170" s="1"/>
      <c r="P170" s="1"/>
      <c r="Q170" s="1"/>
      <c r="R170" s="1">
        <v>7</v>
      </c>
      <c r="S170" s="126">
        <f t="shared" si="11"/>
        <v>7.0250000000000004</v>
      </c>
      <c r="T170" s="127">
        <f t="shared" si="13"/>
        <v>9.537366548042705</v>
      </c>
      <c r="U170" s="133">
        <f t="shared" si="12"/>
        <v>3.35</v>
      </c>
      <c r="V170" s="24"/>
      <c r="W170" s="20"/>
    </row>
    <row r="171" spans="1:23">
      <c r="A171" s="48"/>
      <c r="B171" s="12" t="s">
        <v>306</v>
      </c>
      <c r="C171" s="63" t="s">
        <v>307</v>
      </c>
      <c r="D171" s="63">
        <v>55</v>
      </c>
      <c r="E171" s="1">
        <v>20</v>
      </c>
      <c r="F171" s="81" t="s">
        <v>15</v>
      </c>
      <c r="H171" s="1">
        <v>7.5</v>
      </c>
      <c r="I171" s="1"/>
      <c r="J171" s="1">
        <v>6.8</v>
      </c>
      <c r="K171" s="1"/>
      <c r="L171" s="1"/>
      <c r="M171" s="1"/>
      <c r="N171" s="1">
        <v>7.58</v>
      </c>
      <c r="O171" s="1"/>
      <c r="P171" s="1"/>
      <c r="Q171" s="1"/>
      <c r="R171" s="1">
        <v>7</v>
      </c>
      <c r="S171" s="126">
        <f t="shared" si="11"/>
        <v>7.2200000000000006</v>
      </c>
      <c r="T171" s="127">
        <f t="shared" si="13"/>
        <v>7.6177285318559553</v>
      </c>
      <c r="U171" s="133">
        <f t="shared" si="12"/>
        <v>2.75</v>
      </c>
      <c r="V171" s="24"/>
      <c r="W171" s="20"/>
    </row>
    <row r="172" spans="1:23">
      <c r="A172" s="48"/>
      <c r="B172" s="149" t="s">
        <v>308</v>
      </c>
      <c r="C172" s="63" t="s">
        <v>260</v>
      </c>
      <c r="D172" s="63">
        <v>99</v>
      </c>
      <c r="E172" s="1">
        <v>24</v>
      </c>
      <c r="F172" s="187" t="s">
        <v>90</v>
      </c>
      <c r="H172" s="1"/>
      <c r="I172" s="1"/>
      <c r="J172" s="1"/>
      <c r="K172" s="1"/>
      <c r="L172" s="1"/>
      <c r="M172" s="1"/>
      <c r="N172" s="1">
        <v>8.9</v>
      </c>
      <c r="O172" s="1"/>
      <c r="P172" s="1"/>
      <c r="Q172" s="1"/>
      <c r="R172" s="1">
        <v>9</v>
      </c>
      <c r="S172" s="126">
        <f t="shared" si="11"/>
        <v>8.9499999999999993</v>
      </c>
      <c r="T172" s="127">
        <f t="shared" si="13"/>
        <v>11.061452513966481</v>
      </c>
      <c r="U172" s="133">
        <f t="shared" si="12"/>
        <v>4.125</v>
      </c>
      <c r="V172" s="24"/>
      <c r="W172" s="20"/>
    </row>
    <row r="173" spans="1:23">
      <c r="A173" s="48"/>
      <c r="B173" s="12" t="s">
        <v>309</v>
      </c>
      <c r="C173" s="63" t="s">
        <v>206</v>
      </c>
      <c r="D173" s="63">
        <v>79.989999999999995</v>
      </c>
      <c r="E173" s="1">
        <v>23</v>
      </c>
      <c r="F173" s="81" t="s">
        <v>43</v>
      </c>
      <c r="H173" s="1"/>
      <c r="I173" s="1"/>
      <c r="J173" s="1"/>
      <c r="K173" s="1"/>
      <c r="L173" s="1"/>
      <c r="M173" s="1">
        <v>6.5</v>
      </c>
      <c r="N173" s="1">
        <v>6.5</v>
      </c>
      <c r="O173" s="1"/>
      <c r="P173" s="1"/>
      <c r="Q173" s="1"/>
      <c r="R173" s="1"/>
      <c r="S173" s="126">
        <f t="shared" si="11"/>
        <v>6.5</v>
      </c>
      <c r="T173" s="127">
        <f t="shared" si="13"/>
        <v>12.306153846153846</v>
      </c>
      <c r="U173" s="133">
        <f t="shared" si="12"/>
        <v>3.4778260869565214</v>
      </c>
      <c r="V173" s="24"/>
      <c r="W173" s="20"/>
    </row>
    <row r="174" spans="1:23">
      <c r="A174" s="48"/>
      <c r="B174" s="12" t="s">
        <v>310</v>
      </c>
      <c r="C174" s="63" t="s">
        <v>311</v>
      </c>
      <c r="D174" s="63">
        <v>89</v>
      </c>
      <c r="E174" s="1">
        <v>27</v>
      </c>
      <c r="F174" s="81" t="s">
        <v>22</v>
      </c>
      <c r="H174" s="1"/>
      <c r="I174" s="1"/>
      <c r="J174" s="1">
        <v>8.8000000000000007</v>
      </c>
      <c r="K174" s="1"/>
      <c r="L174" s="1"/>
      <c r="M174" s="1"/>
      <c r="N174" s="1">
        <v>8.9</v>
      </c>
      <c r="O174" s="1"/>
      <c r="P174" s="1"/>
      <c r="Q174" s="1"/>
      <c r="R174" s="1"/>
      <c r="S174" s="126">
        <f t="shared" si="11"/>
        <v>8.8500000000000014</v>
      </c>
      <c r="T174" s="127">
        <f t="shared" si="13"/>
        <v>10.056497175141242</v>
      </c>
      <c r="U174" s="133">
        <f t="shared" si="12"/>
        <v>3.2962962962962963</v>
      </c>
      <c r="V174" s="24"/>
      <c r="W174" s="20"/>
    </row>
    <row r="175" spans="1:23">
      <c r="A175" s="48"/>
      <c r="B175" s="12" t="s">
        <v>312</v>
      </c>
      <c r="C175" s="63" t="s">
        <v>49</v>
      </c>
      <c r="D175" s="63">
        <v>64.400000000000006</v>
      </c>
      <c r="E175" s="1">
        <v>25</v>
      </c>
      <c r="F175" s="81" t="s">
        <v>36</v>
      </c>
      <c r="H175" s="1">
        <v>7.5</v>
      </c>
      <c r="I175" s="1"/>
      <c r="J175" s="1">
        <v>7.5</v>
      </c>
      <c r="K175" s="1"/>
      <c r="L175" s="1">
        <v>7.1</v>
      </c>
      <c r="M175" s="1"/>
      <c r="N175" s="1">
        <v>7.2</v>
      </c>
      <c r="O175" s="1"/>
      <c r="P175" s="1"/>
      <c r="Q175" s="1"/>
      <c r="R175" s="1">
        <v>6.5</v>
      </c>
      <c r="S175" s="126">
        <f t="shared" si="11"/>
        <v>7.1599999999999993</v>
      </c>
      <c r="T175" s="127">
        <f t="shared" si="13"/>
        <v>8.9944134078212308</v>
      </c>
      <c r="U175" s="133">
        <f t="shared" si="12"/>
        <v>2.5760000000000001</v>
      </c>
      <c r="V175" s="24"/>
      <c r="W175" s="20"/>
    </row>
    <row r="176" spans="1:23">
      <c r="A176" s="48"/>
      <c r="B176" s="12" t="s">
        <v>313</v>
      </c>
      <c r="C176" s="63" t="s">
        <v>49</v>
      </c>
      <c r="D176" s="63">
        <v>54.99</v>
      </c>
      <c r="E176" s="1">
        <v>24.9</v>
      </c>
      <c r="F176" s="81" t="s">
        <v>165</v>
      </c>
      <c r="H176" s="1">
        <v>7.5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26">
        <f t="shared" si="11"/>
        <v>7.5</v>
      </c>
      <c r="T176" s="127">
        <f t="shared" si="13"/>
        <v>7.3319999999999999</v>
      </c>
      <c r="U176" s="133">
        <f t="shared" si="12"/>
        <v>2.2084337349397591</v>
      </c>
      <c r="V176" s="24"/>
      <c r="W176" s="20"/>
    </row>
    <row r="177" spans="1:23">
      <c r="A177" s="48"/>
      <c r="B177" s="12" t="s">
        <v>314</v>
      </c>
      <c r="C177" s="63" t="s">
        <v>240</v>
      </c>
      <c r="D177" s="63">
        <v>89.99</v>
      </c>
      <c r="E177" s="1">
        <v>22</v>
      </c>
      <c r="F177" s="84" t="s">
        <v>26</v>
      </c>
      <c r="H177" s="1">
        <v>7.5</v>
      </c>
      <c r="I177" s="1"/>
      <c r="J177" s="1">
        <v>6</v>
      </c>
      <c r="K177" s="1"/>
      <c r="L177" s="1"/>
      <c r="M177" s="1">
        <v>7.4</v>
      </c>
      <c r="N177" s="1">
        <v>8.6999999999999993</v>
      </c>
      <c r="O177" s="1"/>
      <c r="P177" s="1"/>
      <c r="Q177" s="1"/>
      <c r="R177" s="1"/>
      <c r="S177" s="126">
        <f t="shared" si="11"/>
        <v>7.3999999999999995</v>
      </c>
      <c r="T177" s="127">
        <f t="shared" si="13"/>
        <v>12.16081081081081</v>
      </c>
      <c r="U177" s="133">
        <f t="shared" si="12"/>
        <v>4.0904545454545449</v>
      </c>
      <c r="V177" s="24"/>
      <c r="W177" s="20"/>
    </row>
    <row r="178" spans="1:23">
      <c r="A178" s="48"/>
      <c r="B178" s="150" t="s">
        <v>315</v>
      </c>
      <c r="C178" s="63" t="s">
        <v>316</v>
      </c>
      <c r="D178" s="141">
        <v>141.99</v>
      </c>
      <c r="E178" s="1">
        <v>25</v>
      </c>
      <c r="F178" s="81" t="s">
        <v>14</v>
      </c>
      <c r="H178" s="1">
        <v>7.5</v>
      </c>
      <c r="I178" s="1"/>
      <c r="J178" s="1">
        <v>7.4</v>
      </c>
      <c r="K178" s="1">
        <v>6.6</v>
      </c>
      <c r="L178" s="1"/>
      <c r="M178" s="1"/>
      <c r="N178" s="1">
        <v>8.4</v>
      </c>
      <c r="O178" s="1"/>
      <c r="P178" s="1"/>
      <c r="Q178" s="1">
        <v>8</v>
      </c>
      <c r="R178" s="1">
        <v>6.5</v>
      </c>
      <c r="S178" s="126">
        <f t="shared" si="11"/>
        <v>7.3999999999999995</v>
      </c>
      <c r="T178" s="127">
        <f t="shared" si="13"/>
        <v>19.18783783783784</v>
      </c>
      <c r="U178" s="133">
        <f t="shared" si="12"/>
        <v>5.6796000000000006</v>
      </c>
      <c r="V178" s="24"/>
      <c r="W178" s="20"/>
    </row>
    <row r="179" spans="1:23">
      <c r="A179" s="48"/>
      <c r="B179" s="12" t="s">
        <v>317</v>
      </c>
      <c r="C179" s="63" t="s">
        <v>61</v>
      </c>
      <c r="D179" s="63">
        <v>49</v>
      </c>
      <c r="E179" s="1">
        <v>21</v>
      </c>
      <c r="F179" s="81" t="s">
        <v>15</v>
      </c>
      <c r="H179" s="1"/>
      <c r="I179" s="1"/>
      <c r="J179" s="1">
        <v>5.8</v>
      </c>
      <c r="K179" s="1"/>
      <c r="L179" s="1"/>
      <c r="M179" s="1"/>
      <c r="N179" s="1">
        <v>6</v>
      </c>
      <c r="O179" s="1"/>
      <c r="P179" s="1"/>
      <c r="Q179" s="1"/>
      <c r="R179" s="1">
        <v>7.5</v>
      </c>
      <c r="S179" s="126">
        <f t="shared" si="11"/>
        <v>6.4333333333333336</v>
      </c>
      <c r="T179" s="127">
        <f t="shared" si="13"/>
        <v>7.6165803108808285</v>
      </c>
      <c r="U179" s="133">
        <f t="shared" si="12"/>
        <v>2.3333333333333335</v>
      </c>
      <c r="V179" s="24"/>
      <c r="W179" s="20"/>
    </row>
    <row r="180" spans="1:23">
      <c r="A180" s="48"/>
      <c r="B180" s="12" t="s">
        <v>318</v>
      </c>
      <c r="C180" s="63" t="s">
        <v>80</v>
      </c>
      <c r="D180" s="63">
        <v>81.99</v>
      </c>
      <c r="E180" s="1">
        <v>25</v>
      </c>
      <c r="F180" s="81" t="s">
        <v>43</v>
      </c>
      <c r="H180" s="1">
        <v>7.5</v>
      </c>
      <c r="I180" s="1"/>
      <c r="J180" s="1">
        <v>7.4</v>
      </c>
      <c r="K180" s="1"/>
      <c r="L180" s="1"/>
      <c r="M180" s="1"/>
      <c r="N180" s="1">
        <v>7.1</v>
      </c>
      <c r="O180" s="1"/>
      <c r="P180" s="1"/>
      <c r="Q180" s="1">
        <v>8.5</v>
      </c>
      <c r="R180" s="1">
        <v>8</v>
      </c>
      <c r="S180" s="126">
        <f t="shared" si="11"/>
        <v>7.7</v>
      </c>
      <c r="T180" s="127">
        <f t="shared" si="13"/>
        <v>10.648051948051947</v>
      </c>
      <c r="U180" s="133">
        <f t="shared" si="12"/>
        <v>3.2795999999999998</v>
      </c>
      <c r="V180" s="24"/>
      <c r="W180" s="20"/>
    </row>
    <row r="181" spans="1:23">
      <c r="A181" s="48"/>
      <c r="B181" s="12" t="s">
        <v>319</v>
      </c>
      <c r="C181" s="63" t="s">
        <v>38</v>
      </c>
      <c r="D181" s="63">
        <v>127</v>
      </c>
      <c r="E181" s="1">
        <v>22</v>
      </c>
      <c r="F181" s="82" t="s">
        <v>22</v>
      </c>
      <c r="H181" s="1">
        <v>7.5</v>
      </c>
      <c r="I181" s="1"/>
      <c r="J181" s="1">
        <v>7.1</v>
      </c>
      <c r="K181" s="1">
        <v>8.1999999999999993</v>
      </c>
      <c r="L181" s="1"/>
      <c r="M181" s="1"/>
      <c r="N181" s="1">
        <v>6.7</v>
      </c>
      <c r="O181" s="1"/>
      <c r="P181" s="1"/>
      <c r="Q181" s="1"/>
      <c r="R181" s="1">
        <v>7.5</v>
      </c>
      <c r="S181" s="126">
        <f t="shared" si="11"/>
        <v>7.4</v>
      </c>
      <c r="T181" s="127">
        <f t="shared" si="13"/>
        <v>17.162162162162161</v>
      </c>
      <c r="U181" s="133">
        <f t="shared" si="12"/>
        <v>5.7727272727272725</v>
      </c>
      <c r="V181" s="24"/>
      <c r="W181" s="20"/>
    </row>
    <row r="182" spans="1:23">
      <c r="A182" s="48"/>
      <c r="B182" s="154">
        <v>1495</v>
      </c>
      <c r="C182" s="63" t="s">
        <v>320</v>
      </c>
      <c r="D182" s="63">
        <v>39.950000000000003</v>
      </c>
      <c r="E182" s="1">
        <v>22</v>
      </c>
      <c r="F182" s="81" t="s">
        <v>36</v>
      </c>
      <c r="H182" s="1">
        <v>7.5</v>
      </c>
      <c r="I182" s="1"/>
      <c r="J182" s="1"/>
      <c r="K182" s="1"/>
      <c r="L182" s="1"/>
      <c r="M182" s="1">
        <v>6.5</v>
      </c>
      <c r="N182" s="1">
        <v>8.1999999999999993</v>
      </c>
      <c r="O182" s="1"/>
      <c r="P182" s="1"/>
      <c r="Q182" s="1"/>
      <c r="R182" s="1"/>
      <c r="S182" s="126">
        <f t="shared" si="11"/>
        <v>7.3999999999999995</v>
      </c>
      <c r="T182" s="127">
        <f t="shared" si="13"/>
        <v>5.3986486486486491</v>
      </c>
      <c r="U182" s="133">
        <f t="shared" si="12"/>
        <v>1.8159090909090911</v>
      </c>
      <c r="V182" s="24"/>
      <c r="W182" s="20"/>
    </row>
    <row r="183" spans="1:23">
      <c r="A183" s="48"/>
      <c r="B183" s="12" t="s">
        <v>321</v>
      </c>
      <c r="C183" s="63" t="s">
        <v>170</v>
      </c>
      <c r="D183" s="63">
        <v>64.989999999999995</v>
      </c>
      <c r="E183" s="1">
        <v>32</v>
      </c>
      <c r="F183" s="81" t="s">
        <v>165</v>
      </c>
      <c r="H183" s="1">
        <v>7.5</v>
      </c>
      <c r="I183" s="1"/>
      <c r="J183" s="1"/>
      <c r="K183" s="1"/>
      <c r="L183" s="1"/>
      <c r="M183" s="1">
        <v>6</v>
      </c>
      <c r="N183" s="1"/>
      <c r="O183" s="1"/>
      <c r="P183" s="1"/>
      <c r="Q183" s="1"/>
      <c r="R183" s="1"/>
      <c r="S183" s="126">
        <f t="shared" si="11"/>
        <v>6.75</v>
      </c>
      <c r="T183" s="127">
        <f t="shared" si="13"/>
        <v>9.6281481481481475</v>
      </c>
      <c r="U183" s="133">
        <f t="shared" si="12"/>
        <v>2.0309374999999998</v>
      </c>
      <c r="V183" s="24"/>
      <c r="W183" s="20"/>
    </row>
    <row r="184" spans="1:23">
      <c r="A184" s="48"/>
      <c r="B184" s="12"/>
      <c r="C184" s="63"/>
      <c r="D184" s="63"/>
      <c r="E184" s="1"/>
      <c r="F184" s="84" t="s">
        <v>26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26">
        <f>IFERROR(AVERAGE(H184:R184),0)</f>
        <v>0</v>
      </c>
      <c r="T184" s="127" t="str">
        <f t="shared" si="13"/>
        <v xml:space="preserve"> </v>
      </c>
      <c r="U184" s="133" t="str">
        <f t="shared" si="12"/>
        <v xml:space="preserve"> </v>
      </c>
      <c r="V184" s="24"/>
      <c r="W184" s="20"/>
    </row>
    <row r="185" spans="1:23" ht="15.75" customHeight="1">
      <c r="B185" s="12" t="s">
        <v>322</v>
      </c>
      <c r="C185" s="63" t="s">
        <v>323</v>
      </c>
      <c r="D185" s="63" t="s">
        <v>324</v>
      </c>
      <c r="E185" s="1">
        <v>22</v>
      </c>
      <c r="F185" s="81" t="s">
        <v>14</v>
      </c>
      <c r="H185" s="1"/>
      <c r="I185" s="1"/>
      <c r="J185" s="1"/>
      <c r="K185" s="1"/>
      <c r="L185" s="1"/>
      <c r="M185" s="1">
        <v>8.12378</v>
      </c>
      <c r="N185" s="1">
        <v>8.6</v>
      </c>
      <c r="O185" s="1"/>
      <c r="P185" s="1"/>
      <c r="Q185" s="1">
        <v>8</v>
      </c>
      <c r="R185" s="1">
        <v>7.8</v>
      </c>
      <c r="S185" s="126">
        <f t="shared" ref="S185:S196" si="14">IFERROR(AVERAGE(H185:R185),0)</f>
        <v>8.1309449999999988</v>
      </c>
      <c r="T185" s="127" t="str">
        <f t="shared" si="13"/>
        <v xml:space="preserve"> </v>
      </c>
      <c r="U185" s="133" t="str">
        <f t="shared" si="12"/>
        <v xml:space="preserve"> </v>
      </c>
      <c r="V185" s="24"/>
      <c r="W185" s="20"/>
    </row>
    <row r="186" spans="1:23" ht="15.75" customHeight="1">
      <c r="B186" s="12" t="s">
        <v>325</v>
      </c>
      <c r="C186" s="63" t="s">
        <v>80</v>
      </c>
      <c r="D186" s="63">
        <v>53</v>
      </c>
      <c r="E186" s="1">
        <v>22</v>
      </c>
      <c r="F186" s="81" t="s">
        <v>15</v>
      </c>
      <c r="H186" s="1"/>
      <c r="I186" s="1"/>
      <c r="J186" s="1"/>
      <c r="K186" s="1"/>
      <c r="L186" s="1"/>
      <c r="M186" s="1" t="s">
        <v>326</v>
      </c>
      <c r="N186" s="1"/>
      <c r="O186" s="1"/>
      <c r="P186" s="1"/>
      <c r="Q186" s="1">
        <v>7</v>
      </c>
      <c r="R186" s="1">
        <v>7.6</v>
      </c>
      <c r="S186" s="126">
        <f t="shared" si="14"/>
        <v>7.3</v>
      </c>
      <c r="T186" s="127">
        <f t="shared" si="13"/>
        <v>7.2602739726027403</v>
      </c>
      <c r="U186" s="133">
        <f t="shared" si="12"/>
        <v>2.4090909090909092</v>
      </c>
      <c r="V186" s="24"/>
      <c r="W186" s="20"/>
    </row>
    <row r="187" spans="1:23" ht="15.75" customHeight="1">
      <c r="B187" s="12" t="s">
        <v>327</v>
      </c>
      <c r="C187" s="63" t="s">
        <v>272</v>
      </c>
      <c r="D187" s="63">
        <v>58.99</v>
      </c>
      <c r="E187" s="1">
        <v>22</v>
      </c>
      <c r="F187" s="81" t="s">
        <v>43</v>
      </c>
      <c r="H187" s="1"/>
      <c r="I187" s="1"/>
      <c r="J187" s="1"/>
      <c r="K187" s="1">
        <v>6.2</v>
      </c>
      <c r="L187" s="1"/>
      <c r="M187" s="1"/>
      <c r="N187" s="1">
        <v>7.4</v>
      </c>
      <c r="O187" s="1"/>
      <c r="P187" s="1"/>
      <c r="Q187" s="1">
        <v>7.1</v>
      </c>
      <c r="R187" s="1">
        <v>7</v>
      </c>
      <c r="S187" s="126">
        <f t="shared" si="14"/>
        <v>6.9250000000000007</v>
      </c>
      <c r="T187" s="127"/>
      <c r="U187" s="133"/>
      <c r="V187" s="24"/>
      <c r="W187" s="20"/>
    </row>
    <row r="188" spans="1:23" ht="15.75" customHeight="1">
      <c r="B188" s="12" t="s">
        <v>328</v>
      </c>
      <c r="C188" s="63" t="s">
        <v>159</v>
      </c>
      <c r="D188" s="63">
        <v>69.989999999999995</v>
      </c>
      <c r="E188" s="1">
        <v>22</v>
      </c>
      <c r="F188" s="81" t="s">
        <v>165</v>
      </c>
      <c r="H188" s="1"/>
      <c r="I188" s="1"/>
      <c r="J188" s="1"/>
      <c r="K188" s="1">
        <v>6</v>
      </c>
      <c r="L188" s="1"/>
      <c r="M188" s="1">
        <v>6</v>
      </c>
      <c r="N188" s="1">
        <v>6.8</v>
      </c>
      <c r="O188" s="1"/>
      <c r="P188" s="1"/>
      <c r="Q188" s="1"/>
      <c r="R188" s="1">
        <v>4</v>
      </c>
      <c r="S188" s="126">
        <f t="shared" si="14"/>
        <v>5.7</v>
      </c>
      <c r="T188" s="127"/>
      <c r="U188" s="133"/>
      <c r="V188" s="24"/>
      <c r="W188" s="20"/>
    </row>
    <row r="189" spans="1:23" ht="15.75" customHeight="1">
      <c r="B189" s="12" t="s">
        <v>329</v>
      </c>
      <c r="C189" s="63" t="s">
        <v>330</v>
      </c>
      <c r="D189" s="63">
        <v>78</v>
      </c>
      <c r="E189" s="1">
        <v>22</v>
      </c>
      <c r="F189" s="84" t="s">
        <v>26</v>
      </c>
      <c r="H189" s="1"/>
      <c r="I189" s="1"/>
      <c r="J189" s="1"/>
      <c r="K189" s="1">
        <v>6.6</v>
      </c>
      <c r="L189" s="1"/>
      <c r="M189" s="1">
        <v>6.8</v>
      </c>
      <c r="N189" s="1">
        <v>6.4</v>
      </c>
      <c r="O189" s="1"/>
      <c r="P189" s="1"/>
      <c r="Q189" s="1">
        <v>6.5</v>
      </c>
      <c r="R189" s="1"/>
      <c r="S189" s="126">
        <f t="shared" si="14"/>
        <v>6.5749999999999993</v>
      </c>
      <c r="T189" s="127"/>
      <c r="U189" s="133"/>
      <c r="V189" s="24"/>
      <c r="W189" s="20"/>
    </row>
    <row r="190" spans="1:23" ht="15.75" customHeight="1">
      <c r="B190" s="12" t="s">
        <v>331</v>
      </c>
      <c r="C190" s="140" t="s">
        <v>332</v>
      </c>
      <c r="D190" s="63">
        <v>59.99</v>
      </c>
      <c r="E190" s="1">
        <v>18</v>
      </c>
      <c r="F190" s="81" t="s">
        <v>14</v>
      </c>
      <c r="H190" s="1"/>
      <c r="I190" s="1"/>
      <c r="J190" s="1">
        <v>7</v>
      </c>
      <c r="K190" s="1">
        <v>7.1</v>
      </c>
      <c r="L190" s="1"/>
      <c r="M190" s="1"/>
      <c r="N190" s="1">
        <v>7.8</v>
      </c>
      <c r="O190" s="1"/>
      <c r="P190" s="1"/>
      <c r="Q190" s="1"/>
      <c r="R190" s="1">
        <v>4</v>
      </c>
      <c r="S190" s="126">
        <f t="shared" si="14"/>
        <v>6.4749999999999996</v>
      </c>
      <c r="T190" s="127"/>
      <c r="U190" s="133"/>
      <c r="V190" s="24"/>
      <c r="W190" s="20"/>
    </row>
    <row r="191" spans="1:23" ht="15.75" customHeight="1">
      <c r="B191" s="12" t="s">
        <v>333</v>
      </c>
      <c r="C191" s="63" t="s">
        <v>334</v>
      </c>
      <c r="D191" s="63">
        <v>60.99</v>
      </c>
      <c r="E191" s="1">
        <v>22</v>
      </c>
      <c r="F191" s="81" t="s">
        <v>15</v>
      </c>
      <c r="H191" s="1"/>
      <c r="I191" s="1"/>
      <c r="J191" s="1"/>
      <c r="K191" s="1"/>
      <c r="L191" s="1"/>
      <c r="M191" s="1">
        <v>7.4</v>
      </c>
      <c r="N191" s="1">
        <v>6.9</v>
      </c>
      <c r="O191" s="1"/>
      <c r="P191" s="1"/>
      <c r="Q191" s="1"/>
      <c r="R191" s="1"/>
      <c r="S191" s="126">
        <f t="shared" si="14"/>
        <v>7.15</v>
      </c>
      <c r="T191" s="127">
        <f t="shared" si="13"/>
        <v>8.5300699300699296</v>
      </c>
      <c r="U191" s="133">
        <f t="shared" si="12"/>
        <v>2.7722727272727274</v>
      </c>
      <c r="V191" s="24"/>
      <c r="W191" s="20"/>
    </row>
    <row r="192" spans="1:23" ht="15.75" customHeight="1">
      <c r="B192" s="12"/>
      <c r="C192" s="63"/>
      <c r="D192" s="63"/>
      <c r="E192" s="1"/>
      <c r="F192" s="81" t="s">
        <v>14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26">
        <f t="shared" si="14"/>
        <v>0</v>
      </c>
      <c r="T192" s="127" t="str">
        <f t="shared" si="13"/>
        <v xml:space="preserve"> </v>
      </c>
      <c r="U192" s="133" t="str">
        <f t="shared" si="12"/>
        <v xml:space="preserve"> </v>
      </c>
      <c r="V192" s="24"/>
      <c r="W192" s="20"/>
    </row>
    <row r="193" spans="1:23" ht="15.75" customHeight="1">
      <c r="B193" s="12"/>
      <c r="C193" s="63"/>
      <c r="D193" s="63"/>
      <c r="E193" s="1"/>
      <c r="F193" s="81" t="s">
        <v>15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26">
        <f t="shared" si="14"/>
        <v>0</v>
      </c>
      <c r="T193" s="127"/>
      <c r="U193" s="133"/>
      <c r="V193" s="24"/>
      <c r="W193" s="20"/>
    </row>
    <row r="194" spans="1:23">
      <c r="B194" s="12"/>
      <c r="C194" s="63"/>
      <c r="D194" s="63"/>
      <c r="E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26">
        <f t="shared" si="14"/>
        <v>0</v>
      </c>
      <c r="T194" s="127" t="str">
        <f t="shared" si="13"/>
        <v xml:space="preserve"> </v>
      </c>
      <c r="U194" s="133" t="str">
        <f t="shared" si="12"/>
        <v xml:space="preserve"> </v>
      </c>
      <c r="V194" s="24"/>
      <c r="W194" s="20"/>
    </row>
    <row r="195" spans="1:23">
      <c r="B195" s="12"/>
      <c r="C195" s="63"/>
      <c r="D195" s="63"/>
      <c r="E195" s="1"/>
      <c r="F195" s="82" t="s">
        <v>335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26">
        <f t="shared" si="14"/>
        <v>0</v>
      </c>
      <c r="T195" s="127" t="str">
        <f t="shared" si="13"/>
        <v xml:space="preserve"> </v>
      </c>
      <c r="U195" s="133" t="str">
        <f t="shared" si="12"/>
        <v xml:space="preserve"> </v>
      </c>
      <c r="V195" s="24"/>
      <c r="W195" s="20"/>
    </row>
    <row r="196" spans="1:23">
      <c r="B196" s="16"/>
      <c r="C196" s="151"/>
      <c r="D196" s="151"/>
      <c r="E196" s="9"/>
      <c r="F196" s="81" t="s">
        <v>336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26">
        <f t="shared" si="14"/>
        <v>0</v>
      </c>
      <c r="T196" s="127" t="str">
        <f t="shared" si="13"/>
        <v xml:space="preserve"> </v>
      </c>
      <c r="U196" s="133" t="str">
        <f t="shared" si="12"/>
        <v xml:space="preserve"> </v>
      </c>
      <c r="V196" s="24"/>
      <c r="W196" s="20"/>
    </row>
    <row r="197" spans="1:23">
      <c r="A197" s="48"/>
      <c r="B197" s="2"/>
      <c r="C197" s="2"/>
      <c r="D197" s="122"/>
      <c r="E197" s="2"/>
      <c r="F197" s="15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26">
        <f t="shared" si="11"/>
        <v>0</v>
      </c>
      <c r="T197" s="127" t="str">
        <f t="shared" si="13"/>
        <v xml:space="preserve"> </v>
      </c>
      <c r="U197" s="133" t="str">
        <f t="shared" si="12"/>
        <v xml:space="preserve"> </v>
      </c>
      <c r="V197" s="24"/>
      <c r="W197" s="79"/>
    </row>
    <row r="198" spans="1:23">
      <c r="B198" s="90"/>
      <c r="C198" s="91"/>
      <c r="D198" s="92"/>
      <c r="E198" s="91"/>
      <c r="F198" s="93"/>
      <c r="H198" s="137">
        <f>AVERAGE(H2:H197)</f>
        <v>7.0295744680851078</v>
      </c>
      <c r="I198" s="137">
        <f t="shared" ref="I198:U198" si="15">AVERAGE(I2:I197)</f>
        <v>6.8125000000000009</v>
      </c>
      <c r="J198" s="137">
        <f t="shared" si="15"/>
        <v>6.8065789473684202</v>
      </c>
      <c r="K198" s="137">
        <f t="shared" si="15"/>
        <v>7.2091880341880321</v>
      </c>
      <c r="L198" s="137">
        <f>AVERAGE(L2:L197)</f>
        <v>7.6764705882352944</v>
      </c>
      <c r="M198" s="137">
        <f t="shared" si="15"/>
        <v>7.315645934065933</v>
      </c>
      <c r="N198" s="137">
        <f t="shared" si="15"/>
        <v>7.3584212500000046</v>
      </c>
      <c r="O198" s="137">
        <f t="shared" si="15"/>
        <v>7.2241379310344831</v>
      </c>
      <c r="P198" s="137">
        <f t="shared" si="15"/>
        <v>6.9792785714285728</v>
      </c>
      <c r="Q198" s="137">
        <f t="shared" si="15"/>
        <v>7.131355932203391</v>
      </c>
      <c r="R198" s="137">
        <f t="shared" si="15"/>
        <v>6.5451612903225804</v>
      </c>
      <c r="S198" s="126">
        <f t="shared" si="15"/>
        <v>6.8093457511337903</v>
      </c>
      <c r="T198" s="139">
        <f t="shared" si="15"/>
        <v>11.015467520302606</v>
      </c>
      <c r="U198" s="139">
        <f t="shared" si="15"/>
        <v>3.5974831106940064</v>
      </c>
    </row>
    <row r="199" spans="1:23">
      <c r="B199" s="50" t="s">
        <v>337</v>
      </c>
      <c r="C199" s="77" t="s">
        <v>1</v>
      </c>
      <c r="D199" s="78" t="s">
        <v>338</v>
      </c>
      <c r="H199" s="16">
        <f t="shared" ref="H199:U199" si="16">MEDIAN(H2:H158)</f>
        <v>7.1</v>
      </c>
      <c r="I199" s="9">
        <f t="shared" si="16"/>
        <v>7</v>
      </c>
      <c r="J199" s="9">
        <f t="shared" si="16"/>
        <v>6.9</v>
      </c>
      <c r="K199" s="9">
        <f t="shared" si="16"/>
        <v>7.4</v>
      </c>
      <c r="L199" s="9">
        <f t="shared" si="16"/>
        <v>7.7</v>
      </c>
      <c r="M199" s="9">
        <f t="shared" si="16"/>
        <v>7.4</v>
      </c>
      <c r="N199" s="9">
        <f t="shared" si="16"/>
        <v>7.5</v>
      </c>
      <c r="O199" s="9">
        <f t="shared" si="16"/>
        <v>8</v>
      </c>
      <c r="P199" s="9">
        <f t="shared" si="16"/>
        <v>7.3</v>
      </c>
      <c r="Q199" s="9">
        <f t="shared" si="16"/>
        <v>7</v>
      </c>
      <c r="R199" s="9">
        <f t="shared" si="16"/>
        <v>6</v>
      </c>
      <c r="S199" s="126">
        <f t="shared" si="16"/>
        <v>7.1</v>
      </c>
      <c r="T199" s="138">
        <f t="shared" si="16"/>
        <v>10.08235294117647</v>
      </c>
      <c r="U199" s="138">
        <f t="shared" si="16"/>
        <v>3.3604621848739491</v>
      </c>
    </row>
    <row r="200" spans="1:23">
      <c r="B200" s="12" t="s">
        <v>339</v>
      </c>
      <c r="C200" s="1"/>
      <c r="D200" s="13" t="s">
        <v>43</v>
      </c>
      <c r="T200" s="3"/>
      <c r="U200" s="3"/>
    </row>
    <row r="201" spans="1:23">
      <c r="B201" s="12" t="s">
        <v>340</v>
      </c>
      <c r="C201" s="8"/>
      <c r="D201" s="13" t="s">
        <v>43</v>
      </c>
      <c r="H201" s="175" t="s">
        <v>341</v>
      </c>
      <c r="I201" s="176"/>
      <c r="J201" s="176"/>
      <c r="K201" s="176"/>
      <c r="L201" s="177"/>
      <c r="Q201" s="104"/>
      <c r="R201" s="104"/>
      <c r="S201" s="105"/>
      <c r="T201" s="3"/>
      <c r="U201" s="3"/>
    </row>
    <row r="202" spans="1:23">
      <c r="B202" s="12"/>
      <c r="C202" s="8"/>
      <c r="D202" s="13"/>
      <c r="H202" s="115" t="s">
        <v>4</v>
      </c>
      <c r="I202" s="116" t="s">
        <v>342</v>
      </c>
      <c r="J202" s="116" t="s">
        <v>343</v>
      </c>
      <c r="K202" s="116" t="s">
        <v>344</v>
      </c>
      <c r="L202" s="117" t="s">
        <v>345</v>
      </c>
      <c r="Q202" s="104"/>
      <c r="R202" s="104"/>
      <c r="S202" s="105"/>
      <c r="T202" s="3"/>
      <c r="U202" s="3"/>
    </row>
    <row r="203" spans="1:23">
      <c r="B203" s="12"/>
      <c r="C203" s="1"/>
      <c r="D203" s="13"/>
      <c r="H203" s="58" t="s">
        <v>36</v>
      </c>
      <c r="I203" s="108">
        <f>AVERAGEIF($F$2:F198,H203,$D$2:D198)</f>
        <v>81.420322580645134</v>
      </c>
      <c r="J203" s="109">
        <f>COUNTIF($D$2:F158,H203)</f>
        <v>28</v>
      </c>
      <c r="K203" s="118">
        <f>SUMIF($F$2:F198,H203,$D$2:D198)</f>
        <v>2524.0299999999993</v>
      </c>
      <c r="L203" s="110">
        <f ca="1">AVERAGEIF($F$2:F198,H203,$S$2:S197)</f>
        <v>7.0795572916666671</v>
      </c>
      <c r="Q203" s="106"/>
      <c r="R203" s="106"/>
      <c r="T203" s="3"/>
      <c r="U203" s="3"/>
    </row>
    <row r="204" spans="1:23">
      <c r="B204" s="12"/>
      <c r="C204" s="1"/>
      <c r="D204" s="13"/>
      <c r="H204" s="54" t="s">
        <v>22</v>
      </c>
      <c r="I204" s="107">
        <f>AVERAGEIF($F$2:F198,H204,$D$2:D198)</f>
        <v>79.730322580645165</v>
      </c>
      <c r="J204" s="37">
        <f>COUNTIF(D2:F198,H204)</f>
        <v>31</v>
      </c>
      <c r="K204" s="119">
        <f>SUMIF($F$2:F198,H204,$D$2:D198)</f>
        <v>2471.6400000000003</v>
      </c>
      <c r="L204" s="111">
        <f ca="1">AVERAGEIF($F$2:F198,H204,$S$2:S174)</f>
        <v>6.8910706605222742</v>
      </c>
      <c r="Q204" s="106"/>
      <c r="R204" s="106"/>
      <c r="T204" s="3"/>
      <c r="U204" s="3"/>
    </row>
    <row r="205" spans="1:23">
      <c r="B205" s="12"/>
      <c r="C205" s="1"/>
      <c r="D205" s="13"/>
      <c r="H205" s="54" t="s">
        <v>26</v>
      </c>
      <c r="I205" s="107">
        <f>AVERAGEIF($F$2:F198,H205,$D$2:D198)</f>
        <v>88.228400000000008</v>
      </c>
      <c r="J205" s="37">
        <f>COUNTIF(D2:F198,H205)</f>
        <v>27</v>
      </c>
      <c r="K205" s="119">
        <f>SUMIF($F$2:F198,H205,$D$2:D198)</f>
        <v>2205.71</v>
      </c>
      <c r="L205" s="111">
        <f ca="1">AVERAGEIF($F$2:F198,H205,$S$2:S174)</f>
        <v>6.750516049382715</v>
      </c>
      <c r="Q205" s="106"/>
      <c r="R205" s="106"/>
      <c r="T205" s="3"/>
      <c r="U205" s="3"/>
    </row>
    <row r="206" spans="1:23">
      <c r="B206" s="12"/>
      <c r="C206" s="1"/>
      <c r="D206" s="13"/>
      <c r="H206" s="54" t="s">
        <v>43</v>
      </c>
      <c r="I206" s="107">
        <f>AVERAGEIF($F$2:F198,H206,$D$2:D198)</f>
        <v>68.151428571428568</v>
      </c>
      <c r="J206" s="37">
        <f>COUNTIF(D2:F198,H206)</f>
        <v>28</v>
      </c>
      <c r="K206" s="119">
        <f>SUMIF($F$2:F198,H206,$D$2:D198)</f>
        <v>1908.24</v>
      </c>
      <c r="L206" s="111">
        <f ca="1">AVERAGEIF($F$2:F198,H206,$S$2:S63)</f>
        <v>7.1463392857142853</v>
      </c>
      <c r="Q206" s="106"/>
      <c r="R206" s="106"/>
      <c r="T206" s="3"/>
      <c r="U206" s="3"/>
    </row>
    <row r="207" spans="1:23">
      <c r="B207" s="25"/>
      <c r="C207" s="26"/>
      <c r="D207" s="27"/>
      <c r="H207" s="54" t="s">
        <v>14</v>
      </c>
      <c r="I207" s="107">
        <f>AVERAGEIF($F$2:F158,H207,$D$2:D158)</f>
        <v>67.648571428571429</v>
      </c>
      <c r="J207" s="37">
        <f>COUNTIF(D3:F199,H207)</f>
        <v>27</v>
      </c>
      <c r="K207" s="119">
        <f>SUMIF($F$2:F199,H207,$D$2:D199)</f>
        <v>1769.5900000000001</v>
      </c>
      <c r="L207" s="111">
        <f ca="1">AVERAGEIF($F$2:F198,H207,$S$2:S64)</f>
        <v>6.9720081922398567</v>
      </c>
      <c r="Q207" s="106"/>
      <c r="R207" s="106"/>
      <c r="T207" s="3"/>
      <c r="U207" s="3"/>
    </row>
    <row r="208" spans="1:23">
      <c r="B208" s="25"/>
      <c r="C208" s="26"/>
      <c r="D208" s="27"/>
      <c r="H208" s="54" t="s">
        <v>163</v>
      </c>
      <c r="I208" s="107">
        <f>AVERAGEIF($F$2:F158,H208,$D$2:D158)</f>
        <v>71.984999999999999</v>
      </c>
      <c r="J208" s="37">
        <f>COUNTIF(D4:F158,H208)</f>
        <v>4</v>
      </c>
      <c r="K208" s="119">
        <f>SUMIF($F$2:F200,H208,$D$2:D200)</f>
        <v>287.94</v>
      </c>
      <c r="L208" s="111">
        <f ca="1">AVERAGEIF($F$2:F198,H208,$S$2:S65)</f>
        <v>7.2802083333333325</v>
      </c>
      <c r="Q208" s="106"/>
      <c r="R208" s="106"/>
      <c r="T208" s="3"/>
      <c r="U208" s="3"/>
    </row>
    <row r="209" spans="2:21">
      <c r="B209" s="16"/>
      <c r="C209" s="9"/>
      <c r="D209" s="17"/>
      <c r="H209" s="54" t="s">
        <v>165</v>
      </c>
      <c r="I209" s="107">
        <f>AVERAGEIF($F$2:F158,H209,$D$2:D158)</f>
        <v>84.49</v>
      </c>
      <c r="J209" s="37">
        <f>COUNTIF(D5:F158,H209)</f>
        <v>12</v>
      </c>
      <c r="K209" s="119">
        <f>SUMIF($F$2:F158,H209,$D$2:D158)</f>
        <v>1013.88</v>
      </c>
      <c r="L209" s="111">
        <f ca="1">AVERAGEIF($F$2:F198,H209,$S$2:S63)</f>
        <v>6.8047055555555556</v>
      </c>
      <c r="Q209" s="106"/>
      <c r="R209" s="106"/>
      <c r="T209" s="3"/>
      <c r="U209" s="3"/>
    </row>
    <row r="210" spans="2:21">
      <c r="B210" s="35"/>
      <c r="C210" s="37"/>
      <c r="D210" s="100"/>
      <c r="H210" s="54" t="s">
        <v>256</v>
      </c>
      <c r="I210" s="107">
        <f>AVERAGEIF($F$2:F198,H210,$D$2:D198)</f>
        <v>54.99</v>
      </c>
      <c r="J210" s="37">
        <f>COUNTIF(D6:F198,H210)</f>
        <v>4</v>
      </c>
      <c r="K210" s="119">
        <f>SUMIF($F$2:F198,H210,$D$2:D198)</f>
        <v>164.97</v>
      </c>
      <c r="L210" s="111">
        <f ca="1">AVERAGEIF($F$2:F199,H210,$S$2:S64)</f>
        <v>7.0783928571428572</v>
      </c>
      <c r="Q210" s="106"/>
      <c r="R210" s="106"/>
      <c r="T210" s="3"/>
      <c r="U210" s="3"/>
    </row>
    <row r="211" spans="2:21">
      <c r="B211" s="50" t="s">
        <v>346</v>
      </c>
      <c r="C211" s="2"/>
      <c r="D211" s="52" t="s">
        <v>347</v>
      </c>
      <c r="H211" s="55" t="s">
        <v>348</v>
      </c>
      <c r="I211" s="112">
        <f>AVERAGEIF($F$2:F158,H211,$D$2:D158)</f>
        <v>83.174166666666665</v>
      </c>
      <c r="J211" s="113">
        <f>COUNTIF(D6:F158,H211)</f>
        <v>11</v>
      </c>
      <c r="K211" s="120">
        <f>SUMIF($F$2:F158,H211,$D$2:D158)</f>
        <v>998.09</v>
      </c>
      <c r="L211" s="114">
        <f ca="1">AVERAGEIF($F$2:F198,H211,$S$2:S64)</f>
        <v>6.9514663003663006</v>
      </c>
      <c r="Q211" s="106"/>
      <c r="R211" s="106"/>
      <c r="T211" s="3"/>
      <c r="U211" s="3"/>
    </row>
    <row r="212" spans="2:21">
      <c r="B212" s="12" t="s">
        <v>349</v>
      </c>
      <c r="C212" s="1" t="s">
        <v>54</v>
      </c>
      <c r="D212" s="13" t="s">
        <v>14</v>
      </c>
      <c r="E212" s="53" t="s">
        <v>350</v>
      </c>
      <c r="T212" s="3"/>
      <c r="U212" s="3"/>
    </row>
    <row r="213" spans="2:21">
      <c r="B213" s="12" t="s">
        <v>351</v>
      </c>
      <c r="C213" s="1" t="s">
        <v>54</v>
      </c>
      <c r="D213" s="13" t="s">
        <v>14</v>
      </c>
      <c r="E213" s="53" t="s">
        <v>352</v>
      </c>
      <c r="T213" s="3"/>
      <c r="U213" s="3"/>
    </row>
    <row r="214" spans="2:21">
      <c r="B214" s="12" t="s">
        <v>353</v>
      </c>
      <c r="C214" s="1" t="s">
        <v>94</v>
      </c>
      <c r="D214" s="13" t="s">
        <v>43</v>
      </c>
      <c r="T214" s="3"/>
      <c r="U214" s="3"/>
    </row>
    <row r="215" spans="2:21">
      <c r="B215" s="12"/>
      <c r="C215" s="1"/>
      <c r="D215" s="13"/>
      <c r="T215" s="3"/>
      <c r="U215" s="3"/>
    </row>
    <row r="216" spans="2:21">
      <c r="B216" s="12"/>
      <c r="C216" s="1"/>
      <c r="D216" s="13"/>
      <c r="T216" s="3"/>
      <c r="U216" s="3"/>
    </row>
    <row r="217" spans="2:21">
      <c r="B217" s="12"/>
      <c r="C217" s="1"/>
      <c r="D217" s="13"/>
      <c r="T217" s="3"/>
      <c r="U217" s="3"/>
    </row>
    <row r="218" spans="2:21">
      <c r="B218" s="49" t="s">
        <v>354</v>
      </c>
      <c r="C218" s="1"/>
      <c r="D218" s="51" t="s">
        <v>355</v>
      </c>
      <c r="T218" s="3"/>
      <c r="U218" s="3"/>
    </row>
    <row r="219" spans="2:21">
      <c r="B219" s="14" t="s">
        <v>356</v>
      </c>
      <c r="C219" s="11" t="s">
        <v>45</v>
      </c>
      <c r="D219" s="15" t="s">
        <v>7</v>
      </c>
      <c r="T219" s="3"/>
      <c r="U219" s="3"/>
    </row>
    <row r="220" spans="2:21">
      <c r="B220" s="12"/>
      <c r="C220" s="1"/>
      <c r="D220" s="13"/>
    </row>
    <row r="221" spans="2:21">
      <c r="B221" s="12"/>
      <c r="C221" s="1"/>
      <c r="D221" s="13"/>
    </row>
    <row r="222" spans="2:21">
      <c r="B222" s="12"/>
      <c r="C222" s="1"/>
      <c r="D222" s="13"/>
    </row>
    <row r="223" spans="2:21">
      <c r="B223" s="12"/>
      <c r="C223" s="1"/>
      <c r="D223" s="13"/>
    </row>
    <row r="224" spans="2:21">
      <c r="B224" s="16"/>
      <c r="C224" s="9"/>
      <c r="D224" s="17"/>
    </row>
    <row r="225" spans="2:8">
      <c r="B225" s="2"/>
      <c r="C225" s="2"/>
      <c r="D225" s="2"/>
    </row>
    <row r="227" spans="2:8">
      <c r="B227" s="69" t="s">
        <v>357</v>
      </c>
      <c r="G227" s="24"/>
    </row>
    <row r="228" spans="2:8">
      <c r="B228" s="71" t="s">
        <v>5</v>
      </c>
      <c r="C228" t="s">
        <v>358</v>
      </c>
      <c r="E228" s="184" t="s">
        <v>359</v>
      </c>
      <c r="F228" s="185"/>
      <c r="G228" s="186"/>
      <c r="H228" t="s">
        <v>358</v>
      </c>
    </row>
    <row r="229" spans="2:8">
      <c r="B229" s="58" t="str" cm="1">
        <f t="array" ref="B229:C233">INDEX(_xlfn._xlws.SORT($B$2:$S$158,7,-1),_xlfn.SEQUENCE(5),{1,7})</f>
        <v>Suntory 'The Chita'</v>
      </c>
      <c r="C229" s="70">
        <v>9</v>
      </c>
      <c r="E229" s="178" t="str">
        <f>C932</f>
        <v>Suntory 'The Chita' - Round 2</v>
      </c>
      <c r="F229" s="179"/>
      <c r="G229" s="179"/>
      <c r="H229" s="75">
        <f>D932</f>
        <v>9</v>
      </c>
    </row>
    <row r="230" spans="2:8">
      <c r="B230" s="54" t="str">
        <v>Illegal Tender Distillers Cut</v>
      </c>
      <c r="C230" s="56">
        <v>9</v>
      </c>
      <c r="E230" s="178" t="str">
        <f>C933</f>
        <v>Gospel Solera - Round 2</v>
      </c>
      <c r="F230" s="179"/>
      <c r="G230" s="179"/>
      <c r="H230" s="73">
        <f>D933</f>
        <v>8.6857142857142851</v>
      </c>
    </row>
    <row r="231" spans="2:8">
      <c r="B231" s="54" t="str">
        <v>Suntory 'The Chita' - Round 2</v>
      </c>
      <c r="C231" s="56">
        <v>9</v>
      </c>
      <c r="E231" s="178" t="str">
        <f>C934</f>
        <v>Gospel Solera</v>
      </c>
      <c r="F231" s="179"/>
      <c r="G231" s="179"/>
      <c r="H231" s="73">
        <f>D934</f>
        <v>8.6571428571428566</v>
      </c>
    </row>
    <row r="232" spans="2:8">
      <c r="B232" s="54" t="str">
        <v>Gospel Solera</v>
      </c>
      <c r="C232" s="56">
        <v>8.6999999999999993</v>
      </c>
      <c r="E232" s="178" t="str">
        <f>C935</f>
        <v>Chairman's Reserve Original</v>
      </c>
      <c r="F232" s="179"/>
      <c r="G232" s="179"/>
      <c r="H232" s="73">
        <f>D935</f>
        <v>8.65</v>
      </c>
    </row>
    <row r="233" spans="2:8">
      <c r="B233" s="55" t="str">
        <v>Gospel Solera - Round 2</v>
      </c>
      <c r="C233" s="57">
        <v>8.6999999999999993</v>
      </c>
      <c r="E233" s="180" t="str">
        <f>C936</f>
        <v>Suntory 'The Chita'</v>
      </c>
      <c r="F233" s="181"/>
      <c r="G233" s="181"/>
      <c r="H233" s="74">
        <f>D936</f>
        <v>8.625</v>
      </c>
    </row>
    <row r="234" spans="2:8">
      <c r="B234" s="72" t="s">
        <v>6</v>
      </c>
      <c r="C234" t="s">
        <v>358</v>
      </c>
      <c r="E234" s="179"/>
      <c r="F234" s="179"/>
      <c r="G234" s="179"/>
    </row>
    <row r="235" spans="2:8">
      <c r="B235" s="58" t="str" cm="1">
        <f t="array" ref="B235:C239">INDEX(_xlfn._xlws.SORT($B$2:$S$158,8,-1),_xlfn.SEQUENCE(5),{1,8})</f>
        <v>Gospel Solera - Round 2</v>
      </c>
      <c r="C235" s="70">
        <v>9</v>
      </c>
      <c r="F235"/>
    </row>
    <row r="236" spans="2:8">
      <c r="B236" s="54" t="str">
        <v>Auchentoshan</v>
      </c>
      <c r="C236" s="56">
        <v>8.1999999999999993</v>
      </c>
      <c r="F236"/>
    </row>
    <row r="237" spans="2:8">
      <c r="B237" s="54" t="str">
        <v>Chivas Regal Aged Gold Signature 18 years</v>
      </c>
      <c r="C237" s="56">
        <v>8</v>
      </c>
      <c r="F237"/>
    </row>
    <row r="238" spans="2:8">
      <c r="B238" s="54" t="str">
        <v>Canadian Club Aged 20 Years</v>
      </c>
      <c r="C238" s="56">
        <v>7.9</v>
      </c>
      <c r="F238"/>
    </row>
    <row r="239" spans="2:8">
      <c r="B239" s="55" t="str">
        <v>Gentleman Jack</v>
      </c>
      <c r="C239" s="57">
        <v>7.9</v>
      </c>
    </row>
    <row r="240" spans="2:8">
      <c r="B240" s="72" t="s">
        <v>7</v>
      </c>
      <c r="C240" t="s">
        <v>358</v>
      </c>
    </row>
    <row r="241" spans="2:3">
      <c r="B241" s="58" t="str" cm="1">
        <f t="array" ref="B241:C245">INDEX(_xlfn._xlws.SORT($B$2:$S$158,9,-1),_xlfn.SEQUENCE(5),{1,9})</f>
        <v>Suntory 'The Chita'</v>
      </c>
      <c r="C241" s="70">
        <v>9</v>
      </c>
    </row>
    <row r="242" spans="2:3">
      <c r="B242" s="54" t="str">
        <v>Chairman's Reserve Original</v>
      </c>
      <c r="C242" s="56">
        <v>9</v>
      </c>
    </row>
    <row r="243" spans="2:3">
      <c r="B243" s="54" t="str">
        <v>Limeburners Single Malt Whisky Port Cask</v>
      </c>
      <c r="C243" s="56">
        <v>9</v>
      </c>
    </row>
    <row r="244" spans="2:3">
      <c r="B244" s="54" t="str">
        <v>Suntory 'The Chita' - Round 2</v>
      </c>
      <c r="C244" s="56">
        <v>9</v>
      </c>
    </row>
    <row r="245" spans="2:3">
      <c r="B245" s="55" t="str">
        <v>Elijah Craig Small Batch</v>
      </c>
      <c r="C245" s="57">
        <v>8.75</v>
      </c>
    </row>
    <row r="246" spans="2:3">
      <c r="B246" s="72" t="s">
        <v>8</v>
      </c>
      <c r="C246" t="s">
        <v>358</v>
      </c>
    </row>
    <row r="247" spans="2:3">
      <c r="B247" s="58" t="str" cm="1">
        <f t="array" ref="B247:C251">INDEX(_xlfn._xlws.SORT($B$2:$S$158,10,-1),_xlfn.SEQUENCE(5),{1,10})</f>
        <v>Jack Daniels Honey</v>
      </c>
      <c r="C247" s="70">
        <v>9</v>
      </c>
    </row>
    <row r="248" spans="2:3">
      <c r="B248" s="54" t="str">
        <v>Illegal Tender Distillers Cut</v>
      </c>
      <c r="C248" s="56">
        <v>9</v>
      </c>
    </row>
    <row r="249" spans="2:3">
      <c r="B249" s="54" t="str">
        <v>Suntory 'The Chita' - Round 2</v>
      </c>
      <c r="C249" s="56">
        <v>9</v>
      </c>
    </row>
    <row r="250" spans="2:3">
      <c r="B250" s="54" t="str">
        <v>ey</v>
      </c>
      <c r="C250" s="56">
        <v>8.8000000000000007</v>
      </c>
    </row>
    <row r="251" spans="2:3">
      <c r="B251" s="55" t="str">
        <v>Chivas Regal Aged Gold Signature 18 years</v>
      </c>
      <c r="C251" s="57">
        <v>8.5</v>
      </c>
    </row>
    <row r="252" spans="2:3">
      <c r="B252" s="72" t="s">
        <v>9</v>
      </c>
      <c r="C252" t="s">
        <v>358</v>
      </c>
    </row>
    <row r="253" spans="2:3">
      <c r="B253" s="58" t="str" cm="1">
        <f t="array" ref="B253:C257">INDEX(_xlfn._xlws.SORT($B$2:$S$158,11,-1),_xlfn.SEQUENCE(5),{1,11})</f>
        <v>ey</v>
      </c>
      <c r="C253" s="70">
        <v>9.1999999999999993</v>
      </c>
    </row>
    <row r="254" spans="2:3">
      <c r="B254" s="54" t="str">
        <v>Booker Noes (Special Barrel)</v>
      </c>
      <c r="C254" s="56">
        <v>9.1</v>
      </c>
    </row>
    <row r="255" spans="2:3">
      <c r="B255" s="54" t="str">
        <v>Gospel Solera</v>
      </c>
      <c r="C255" s="56">
        <v>8.5</v>
      </c>
    </row>
    <row r="256" spans="2:3">
      <c r="B256" s="54" t="str">
        <v>Deanston Highland Single Malt</v>
      </c>
      <c r="C256" s="56">
        <v>8</v>
      </c>
    </row>
    <row r="257" spans="2:3">
      <c r="B257" s="55" t="str">
        <v>Gentleman Jack</v>
      </c>
      <c r="C257" s="57">
        <v>8</v>
      </c>
    </row>
    <row r="258" spans="2:3">
      <c r="B258" s="72" t="s">
        <v>10</v>
      </c>
      <c r="C258" t="s">
        <v>358</v>
      </c>
    </row>
    <row r="259" spans="2:3">
      <c r="B259" s="58" t="str" cm="1">
        <f t="array" ref="B259:C263">INDEX(_xlfn._xlws.SORT($B$2:$S$158,12,-1),_xlfn.SEQUENCE(5),{1,12})</f>
        <v>Gospel Solera - Round 2</v>
      </c>
      <c r="C259" s="70">
        <v>9</v>
      </c>
    </row>
    <row r="260" spans="2:3">
      <c r="B260" s="54" t="str">
        <v>Gospel Solera</v>
      </c>
      <c r="C260" s="56">
        <v>8.8000000000000007</v>
      </c>
    </row>
    <row r="261" spans="2:3">
      <c r="B261" s="54" t="str">
        <v>St Remy VSOP</v>
      </c>
      <c r="C261" s="56">
        <v>8.8000000000000007</v>
      </c>
    </row>
    <row r="262" spans="2:3">
      <c r="B262" s="54" t="str">
        <v>Fireball - Cinnamon Flavoured</v>
      </c>
      <c r="C262" s="56">
        <v>8.5</v>
      </c>
    </row>
    <row r="263" spans="2:3">
      <c r="B263" s="55" t="str">
        <v>Rusty Barrel</v>
      </c>
      <c r="C263" s="57">
        <v>8.5</v>
      </c>
    </row>
    <row r="264" spans="2:3">
      <c r="B264" s="72" t="s">
        <v>11</v>
      </c>
      <c r="C264" t="s">
        <v>358</v>
      </c>
    </row>
    <row r="265" spans="2:3">
      <c r="B265" s="58" t="str" cm="1">
        <f t="array" ref="B265:C269">INDEX(_xlfn._xlws.SORT($B$2:$S$158,13,-1),_xlfn.SEQUENCE(5),{1,13})</f>
        <v>Illegal Tender Distillers Cut</v>
      </c>
      <c r="C265" s="70">
        <v>9</v>
      </c>
    </row>
    <row r="266" spans="2:3">
      <c r="B266" s="54" t="str">
        <v>Gospel Solera</v>
      </c>
      <c r="C266" s="56">
        <v>9</v>
      </c>
    </row>
    <row r="267" spans="2:3">
      <c r="B267" s="54" t="str">
        <v>Gospel Solera - Round 2</v>
      </c>
      <c r="C267" s="56">
        <v>9</v>
      </c>
    </row>
    <row r="268" spans="2:3">
      <c r="B268" s="54" t="str">
        <v>Explorers Series Japanese Mugi Shochu Cask 15Yo</v>
      </c>
      <c r="C268" s="56">
        <v>9</v>
      </c>
    </row>
    <row r="269" spans="2:3">
      <c r="B269" s="54" t="str">
        <v>The Koshi-no Shinobu</v>
      </c>
      <c r="C269" s="57">
        <v>9</v>
      </c>
    </row>
    <row r="270" spans="2:3">
      <c r="B270" s="101" t="s">
        <v>12</v>
      </c>
      <c r="C270" t="s">
        <v>358</v>
      </c>
    </row>
    <row r="271" spans="2:3">
      <c r="B271" s="54" t="str" cm="1">
        <f t="array" ref="B271:C275">INDEX(_xlfn._xlws.SORT($B$2:$S$158,14,-1),_xlfn.SEQUENCE(5),{1,14})</f>
        <v>Archie Rose Copper Pot Distilled</v>
      </c>
      <c r="C271" s="70">
        <v>10</v>
      </c>
    </row>
    <row r="272" spans="2:3">
      <c r="B272" s="54" t="str">
        <v>Howler Head Monkey Spirit</v>
      </c>
      <c r="C272" s="56">
        <v>9</v>
      </c>
    </row>
    <row r="273" spans="2:3">
      <c r="B273" s="54" t="str">
        <v xml:space="preserve">Four Roses </v>
      </c>
      <c r="C273" s="56">
        <v>9</v>
      </c>
    </row>
    <row r="274" spans="2:3">
      <c r="B274" s="54" t="str">
        <v>Wild Turkey Longbranch</v>
      </c>
      <c r="C274" s="56">
        <v>9</v>
      </c>
    </row>
    <row r="275" spans="2:3">
      <c r="B275" s="55" t="str">
        <v>St Remy VSOP</v>
      </c>
      <c r="C275" s="57">
        <v>8.5</v>
      </c>
    </row>
    <row r="276" spans="2:3">
      <c r="B276" s="72" t="s">
        <v>13</v>
      </c>
      <c r="C276" t="s">
        <v>358</v>
      </c>
    </row>
    <row r="277" spans="2:3">
      <c r="B277" s="58" t="str" cm="1">
        <f t="array" ref="B277:C281">INDEX(_xlfn._xlws.SORT($B$2:$S$158,15,-1),_xlfn.SEQUENCE(5),{1,15})</f>
        <v>Fireball - Cinnamon Flavoured</v>
      </c>
      <c r="C277" s="70">
        <v>8.5</v>
      </c>
    </row>
    <row r="278" spans="2:3">
      <c r="B278" s="54" t="str">
        <v>5 year old spiced premium Ratu</v>
      </c>
      <c r="C278" s="56">
        <v>8.5</v>
      </c>
    </row>
    <row r="279" spans="2:3">
      <c r="B279" s="54" t="str">
        <v>Bushmills</v>
      </c>
      <c r="C279" s="56">
        <v>8.5</v>
      </c>
    </row>
    <row r="280" spans="2:3">
      <c r="B280" s="54" t="str">
        <v>Jameson Black Barrel</v>
      </c>
      <c r="C280" s="56">
        <v>8.3000000000000007</v>
      </c>
    </row>
    <row r="281" spans="2:3">
      <c r="B281" s="55" t="str">
        <v>Jack Daniels Apple</v>
      </c>
      <c r="C281" s="57">
        <v>8</v>
      </c>
    </row>
    <row r="282" spans="2:3">
      <c r="B282" s="72" t="s">
        <v>14</v>
      </c>
      <c r="C282" t="s">
        <v>358</v>
      </c>
    </row>
    <row r="283" spans="2:3">
      <c r="B283" s="58" t="str" cm="1">
        <f t="array" ref="B283:C287">INDEX(_xlfn._xlws.SORT($B$2:$S$158,16,-1),_xlfn.SEQUENCE(5),{1,16})</f>
        <v>Gospel Solera - Round 2</v>
      </c>
      <c r="C283" s="70">
        <v>9</v>
      </c>
    </row>
    <row r="284" spans="2:3">
      <c r="B284" s="54" t="str">
        <v>Gospel Solera</v>
      </c>
      <c r="C284" s="56">
        <v>8.8000000000000007</v>
      </c>
    </row>
    <row r="285" spans="2:3">
      <c r="B285" s="54" t="str">
        <v>Illegal Tender "Barely Legal"</v>
      </c>
      <c r="C285" s="56">
        <v>8.5</v>
      </c>
    </row>
    <row r="286" spans="2:3">
      <c r="B286" s="54" t="str">
        <v>Espolon</v>
      </c>
      <c r="C286" s="56">
        <v>8.5</v>
      </c>
    </row>
    <row r="287" spans="2:3">
      <c r="B287" s="55" t="str">
        <v>Deanston Highland Single Malt</v>
      </c>
      <c r="C287" s="57">
        <v>8.5</v>
      </c>
    </row>
    <row r="288" spans="2:3">
      <c r="B288" s="72" t="s">
        <v>15</v>
      </c>
      <c r="C288" t="s">
        <v>358</v>
      </c>
    </row>
    <row r="289" spans="2:3">
      <c r="B289" s="58" t="str" cm="1">
        <f t="array" ref="B289:C293">INDEX(_xlfn._xlws.SORT($B$2:$S$158,17,-1),_xlfn.SEQUENCE(5),{1,17})</f>
        <v>Archie Rose Copper Pot Distilled</v>
      </c>
      <c r="C289" s="70">
        <v>9</v>
      </c>
    </row>
    <row r="290" spans="2:3">
      <c r="B290" s="54" t="str">
        <v>Diplomatico Mantuano</v>
      </c>
      <c r="C290" s="56">
        <v>8.1999999999999993</v>
      </c>
    </row>
    <row r="291" spans="2:3">
      <c r="B291" s="54" t="str">
        <v>Singleton 12 Year Single Malt</v>
      </c>
      <c r="C291" s="56">
        <v>7.3</v>
      </c>
    </row>
    <row r="292" spans="2:3">
      <c r="B292" s="54" t="str">
        <v>The Whistler</v>
      </c>
      <c r="C292" s="56">
        <v>7</v>
      </c>
    </row>
    <row r="293" spans="2:3">
      <c r="B293" s="55" t="str">
        <v>Woodfords, round 2</v>
      </c>
      <c r="C293" s="57">
        <v>6.5</v>
      </c>
    </row>
    <row r="354" spans="4:5">
      <c r="D354" s="3">
        <f>AVERAGE(D2:D353)</f>
        <v>77.673804347826007</v>
      </c>
      <c r="E354">
        <f>AVERAGE(E2:E353)</f>
        <v>21.907282608695656</v>
      </c>
    </row>
    <row r="923" spans="2:2">
      <c r="B923" t="s">
        <v>360</v>
      </c>
    </row>
    <row r="924" spans="2:2">
      <c r="B924" t="s">
        <v>361</v>
      </c>
    </row>
    <row r="925" spans="2:2">
      <c r="B925" t="s">
        <v>362</v>
      </c>
    </row>
    <row r="931" spans="3:4">
      <c r="C931" s="69" t="s">
        <v>359</v>
      </c>
      <c r="D931" t="s">
        <v>358</v>
      </c>
    </row>
    <row r="932" spans="3:4">
      <c r="C932" s="76" t="str" cm="1">
        <f t="array" ref="C932:D936">INDEX(_xlfn._xlws.SORT($B$2:$S$158,18,-1),_xlfn.SEQUENCE(5),{1,18})</f>
        <v>Suntory 'The Chita' - Round 2</v>
      </c>
      <c r="D932" s="7">
        <v>9</v>
      </c>
    </row>
    <row r="933" spans="3:4">
      <c r="C933" s="76" t="str">
        <v>Gospel Solera - Round 2</v>
      </c>
      <c r="D933" s="7">
        <v>8.6857142857142851</v>
      </c>
    </row>
    <row r="934" spans="3:4">
      <c r="C934" s="76" t="str">
        <v>Gospel Solera</v>
      </c>
      <c r="D934" s="7">
        <v>8.6571428571428566</v>
      </c>
    </row>
    <row r="935" spans="3:4">
      <c r="C935" s="76" t="str">
        <v>Chairman's Reserve Original</v>
      </c>
      <c r="D935" s="7">
        <v>8.65</v>
      </c>
    </row>
    <row r="936" spans="3:4">
      <c r="C936" s="76" t="str">
        <v>Suntory 'The Chita'</v>
      </c>
      <c r="D936" s="7">
        <v>8.625</v>
      </c>
    </row>
  </sheetData>
  <autoFilter ref="A1:U214" xr:uid="{00000000-0001-0000-0000-000000000000}"/>
  <sortState xmlns:xlrd2="http://schemas.microsoft.com/office/spreadsheetml/2017/richdata2" ref="S2:S158">
    <sortCondition descending="1" ref="S2:S158"/>
  </sortState>
  <mergeCells count="9">
    <mergeCell ref="H201:L201"/>
    <mergeCell ref="E232:G232"/>
    <mergeCell ref="E233:G233"/>
    <mergeCell ref="E234:G234"/>
    <mergeCell ref="A25:A29"/>
    <mergeCell ref="E229:G229"/>
    <mergeCell ref="E228:G228"/>
    <mergeCell ref="E230:G230"/>
    <mergeCell ref="E231:G231"/>
  </mergeCells>
  <conditionalFormatting sqref="H2:R87 H88:H89 J88:R89 H90:R123 H124 J124:R124">
    <cfRule type="cellIs" dxfId="21" priority="6" operator="equal">
      <formula>"N/A"</formula>
    </cfRule>
  </conditionalFormatting>
  <conditionalFormatting sqref="H2:R87 H88:H89 J88:R89 H90:R123 H124 J124:R124 S2:S199">
    <cfRule type="cellIs" dxfId="20" priority="16" operator="lessThan">
      <formula>5.5</formula>
    </cfRule>
    <cfRule type="cellIs" dxfId="19" priority="17" operator="greaterThan">
      <formula>5.5</formula>
    </cfRule>
  </conditionalFormatting>
  <conditionalFormatting sqref="H125:R197">
    <cfRule type="cellIs" dxfId="18" priority="1" operator="equal">
      <formula>"N/A"</formula>
    </cfRule>
    <cfRule type="cellIs" dxfId="17" priority="2" operator="equal">
      <formula>5.5</formula>
    </cfRule>
    <cfRule type="cellIs" dxfId="16" priority="3" operator="equal">
      <formula>0</formula>
    </cfRule>
    <cfRule type="cellIs" dxfId="15" priority="4" operator="lessThan">
      <formula>5.5</formula>
    </cfRule>
    <cfRule type="cellIs" dxfId="14" priority="5" operator="greaterThan">
      <formula>5.5</formula>
    </cfRule>
  </conditionalFormatting>
  <conditionalFormatting sqref="H2:S19 H20:R87 H88:H89 J88:R89 H90:R123 H124 J124:R124 S4:S199">
    <cfRule type="cellIs" dxfId="13" priority="7" operator="equal">
      <formula>5.5</formula>
    </cfRule>
  </conditionalFormatting>
  <conditionalFormatting sqref="H2:R87 H88:H89 J88:R89 H90:R123 H124 J124:R124 S2:S199">
    <cfRule type="cellIs" dxfId="12" priority="15" operator="equal">
      <formula>0</formula>
    </cfRule>
  </conditionalFormatting>
  <conditionalFormatting sqref="S2:S199">
    <cfRule type="cellIs" dxfId="11" priority="8" operator="equal">
      <formula>" "</formula>
    </cfRule>
  </conditionalFormatting>
  <hyperlinks>
    <hyperlink ref="E213" r:id="rId1" xr:uid="{7D8DA75C-CF68-4300-801E-A2B3C64524E0}"/>
    <hyperlink ref="E212" r:id="rId2" xr:uid="{92D5D514-BF2B-470A-A8B2-C54ABCE5B337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C316-6EB9-4BBE-B5E1-E65D767F2AEE}">
  <sheetPr filterMode="1"/>
  <dimension ref="A1:W935"/>
  <sheetViews>
    <sheetView topLeftCell="H1" workbookViewId="0">
      <pane ySplit="1" topLeftCell="A115" activePane="bottomLeft" state="frozen"/>
      <selection pane="bottomLeft" activeCell="B177" sqref="B177"/>
      <selection activeCell="E1" sqref="E1"/>
    </sheetView>
  </sheetViews>
  <sheetFormatPr defaultRowHeight="15"/>
  <cols>
    <col min="1" max="1" width="11.5703125" customWidth="1"/>
    <col min="2" max="2" width="45.7109375" bestFit="1" customWidth="1"/>
    <col min="3" max="3" width="27" bestFit="1" customWidth="1"/>
    <col min="4" max="4" width="17" customWidth="1"/>
    <col min="5" max="5" width="18.140625" customWidth="1"/>
    <col min="6" max="6" width="14.28515625" style="24" customWidth="1"/>
    <col min="7" max="7" width="6.7109375" customWidth="1"/>
    <col min="8" max="18" width="10.85546875" customWidth="1"/>
    <col min="19" max="19" width="10.85546875" style="7" customWidth="1"/>
    <col min="20" max="20" width="12.85546875" customWidth="1"/>
    <col min="21" max="21" width="13.7109375" style="6" customWidth="1"/>
    <col min="22" max="22" width="5.140625" style="6" customWidth="1"/>
    <col min="23" max="23" width="89.7109375" customWidth="1"/>
    <col min="24" max="24" width="22.42578125" customWidth="1"/>
    <col min="25" max="25" width="27" bestFit="1" customWidth="1"/>
    <col min="26" max="26" width="20.140625" customWidth="1"/>
    <col min="27" max="27" width="39" bestFit="1" customWidth="1"/>
    <col min="29" max="29" width="38.7109375" bestFit="1" customWidth="1"/>
    <col min="31" max="31" width="39" bestFit="1" customWidth="1"/>
    <col min="33" max="33" width="27" bestFit="1" customWidth="1"/>
    <col min="35" max="35" width="45.140625" bestFit="1" customWidth="1"/>
    <col min="37" max="37" width="33.42578125" bestFit="1" customWidth="1"/>
    <col min="39" max="39" width="28.42578125" bestFit="1" customWidth="1"/>
    <col min="16382" max="16384" width="9.140625" bestFit="1" customWidth="1"/>
  </cols>
  <sheetData>
    <row r="1" spans="1:23">
      <c r="B1" s="143" t="s">
        <v>0</v>
      </c>
      <c r="C1" s="144" t="s">
        <v>1</v>
      </c>
      <c r="D1" s="144" t="s">
        <v>2</v>
      </c>
      <c r="E1" s="144" t="s">
        <v>3</v>
      </c>
      <c r="F1" s="145" t="s">
        <v>4</v>
      </c>
      <c r="G1" s="123"/>
      <c r="H1" s="129" t="s">
        <v>5</v>
      </c>
      <c r="I1" s="130" t="s">
        <v>6</v>
      </c>
      <c r="J1" s="130" t="s">
        <v>7</v>
      </c>
      <c r="K1" s="130" t="s">
        <v>8</v>
      </c>
      <c r="L1" s="130" t="s">
        <v>9</v>
      </c>
      <c r="M1" s="130" t="s">
        <v>10</v>
      </c>
      <c r="N1" s="130" t="s">
        <v>11</v>
      </c>
      <c r="O1" s="130" t="s">
        <v>12</v>
      </c>
      <c r="P1" s="130" t="s">
        <v>13</v>
      </c>
      <c r="Q1" s="130" t="s">
        <v>14</v>
      </c>
      <c r="R1" s="130" t="s">
        <v>15</v>
      </c>
      <c r="S1" s="131" t="s">
        <v>16</v>
      </c>
      <c r="T1" s="130" t="s">
        <v>17</v>
      </c>
      <c r="U1" s="132" t="s">
        <v>18</v>
      </c>
      <c r="V1" s="22"/>
      <c r="W1" s="23" t="s">
        <v>19</v>
      </c>
    </row>
    <row r="2" spans="1:23">
      <c r="A2" s="48"/>
      <c r="B2" s="146" t="s">
        <v>246</v>
      </c>
      <c r="C2" s="147" t="s">
        <v>21</v>
      </c>
      <c r="D2" s="148">
        <v>10</v>
      </c>
      <c r="E2" s="147">
        <v>21</v>
      </c>
      <c r="F2" s="83" t="s">
        <v>14</v>
      </c>
      <c r="H2" s="12"/>
      <c r="I2" s="1"/>
      <c r="J2" s="1">
        <v>6.7</v>
      </c>
      <c r="K2" s="1">
        <v>7.8</v>
      </c>
      <c r="L2" s="1"/>
      <c r="M2" s="1">
        <v>7.4</v>
      </c>
      <c r="N2" s="1">
        <v>8.6</v>
      </c>
      <c r="O2" s="1"/>
      <c r="P2" s="1"/>
      <c r="Q2" s="1">
        <v>7.5</v>
      </c>
      <c r="R2" s="1"/>
      <c r="S2" s="126">
        <f>IFERROR(AVERAGE(H2:R2),0)</f>
        <v>7.6</v>
      </c>
      <c r="T2" s="127">
        <f>IFERROR(D2/S2," ")</f>
        <v>1.3157894736842106</v>
      </c>
      <c r="U2" s="133">
        <f>IFERROR(D2/E2," ")</f>
        <v>0.47619047619047616</v>
      </c>
      <c r="V2" s="3"/>
      <c r="W2" s="21" t="s">
        <v>23</v>
      </c>
    </row>
    <row r="3" spans="1:23" hidden="1">
      <c r="B3" s="18" t="s">
        <v>31</v>
      </c>
      <c r="C3" s="4" t="s">
        <v>32</v>
      </c>
      <c r="D3" s="59">
        <v>20</v>
      </c>
      <c r="E3" s="4">
        <v>8.6</v>
      </c>
      <c r="F3" s="81" t="s">
        <v>22</v>
      </c>
      <c r="H3" s="12">
        <v>5</v>
      </c>
      <c r="I3" s="1"/>
      <c r="J3" s="1">
        <v>5.2</v>
      </c>
      <c r="K3" s="1">
        <v>4</v>
      </c>
      <c r="L3" s="1"/>
      <c r="M3" s="1"/>
      <c r="N3" s="1">
        <v>6</v>
      </c>
      <c r="O3" s="1"/>
      <c r="P3" s="1"/>
      <c r="Q3" s="1">
        <v>5</v>
      </c>
      <c r="R3" s="1"/>
      <c r="S3" s="126">
        <f>IFERROR(AVERAGE(H3:R3),0)</f>
        <v>5.04</v>
      </c>
      <c r="T3" s="127">
        <f>IFERROR(D3/S3," ")</f>
        <v>3.9682539682539684</v>
      </c>
      <c r="U3" s="133">
        <f>IFERROR(D3/E3," ")</f>
        <v>2.3255813953488373</v>
      </c>
      <c r="V3" s="3"/>
      <c r="W3" s="20"/>
    </row>
    <row r="4" spans="1:23" hidden="1">
      <c r="A4" s="48"/>
      <c r="B4" s="18" t="s">
        <v>280</v>
      </c>
      <c r="C4" s="4" t="s">
        <v>281</v>
      </c>
      <c r="D4" s="59">
        <v>26.99</v>
      </c>
      <c r="E4" s="4">
        <v>3.8</v>
      </c>
      <c r="F4" s="81" t="s">
        <v>256</v>
      </c>
      <c r="H4" s="12">
        <v>7.5</v>
      </c>
      <c r="I4" s="1"/>
      <c r="J4" s="1">
        <v>7</v>
      </c>
      <c r="K4" s="1"/>
      <c r="L4" s="1"/>
      <c r="M4" s="1">
        <v>7.8</v>
      </c>
      <c r="N4" s="1">
        <v>7.3</v>
      </c>
      <c r="O4" s="1">
        <v>8</v>
      </c>
      <c r="P4" s="1"/>
      <c r="Q4" s="1">
        <v>7</v>
      </c>
      <c r="R4" s="1">
        <v>6</v>
      </c>
      <c r="S4" s="126">
        <f>IFERROR(AVERAGE(H4:R4),0)</f>
        <v>7.2285714285714286</v>
      </c>
      <c r="T4" s="127">
        <f>IFERROR(D4/S4," ")</f>
        <v>3.7337944664031619</v>
      </c>
      <c r="U4" s="133">
        <f>IFERROR(D4/E4," ")</f>
        <v>7.102631578947368</v>
      </c>
      <c r="V4" s="3"/>
      <c r="W4" s="20"/>
    </row>
    <row r="5" spans="1:23" hidden="1">
      <c r="B5" s="18" t="s">
        <v>29</v>
      </c>
      <c r="C5" s="4" t="s">
        <v>30</v>
      </c>
      <c r="D5" s="59">
        <v>38</v>
      </c>
      <c r="E5" s="4">
        <v>20</v>
      </c>
      <c r="F5" s="81" t="s">
        <v>22</v>
      </c>
      <c r="H5" s="12">
        <v>6</v>
      </c>
      <c r="I5" s="1"/>
      <c r="J5" s="1">
        <v>5.5</v>
      </c>
      <c r="K5" s="1"/>
      <c r="L5" s="1"/>
      <c r="M5" s="1"/>
      <c r="N5" s="1"/>
      <c r="O5" s="1"/>
      <c r="P5" s="1"/>
      <c r="Q5" s="1"/>
      <c r="R5" s="1"/>
      <c r="S5" s="126">
        <f>IFERROR(AVERAGE(H5:R5),0)</f>
        <v>5.75</v>
      </c>
      <c r="T5" s="127">
        <f>IFERROR(D5/S5," ")</f>
        <v>6.6086956521739131</v>
      </c>
      <c r="U5" s="133">
        <f>IFERROR(D5/E5," ")</f>
        <v>1.9</v>
      </c>
      <c r="V5" s="3"/>
      <c r="W5" s="20"/>
    </row>
    <row r="6" spans="1:23">
      <c r="A6" s="159"/>
      <c r="B6" s="164">
        <v>1495</v>
      </c>
      <c r="C6" s="167" t="s">
        <v>320</v>
      </c>
      <c r="D6" s="61">
        <v>39.950000000000003</v>
      </c>
      <c r="E6" s="33">
        <v>22</v>
      </c>
      <c r="F6" s="82" t="s">
        <v>36</v>
      </c>
      <c r="H6" s="12">
        <v>7.5</v>
      </c>
      <c r="I6" s="1"/>
      <c r="J6" s="1"/>
      <c r="K6" s="1"/>
      <c r="L6" s="1"/>
      <c r="M6" s="1"/>
      <c r="N6" s="1">
        <v>8.1999999999999993</v>
      </c>
      <c r="O6" s="1"/>
      <c r="P6" s="1"/>
      <c r="Q6" s="1"/>
      <c r="R6" s="1"/>
      <c r="S6" s="126">
        <f>IFERROR(AVERAGE(H6:R6),0)</f>
        <v>7.85</v>
      </c>
      <c r="T6" s="127">
        <f>IFERROR(D6/S6," ")</f>
        <v>5.0891719745222934</v>
      </c>
      <c r="U6" s="133">
        <f>IFERROR(D6/E6," ")</f>
        <v>1.8159090909090911</v>
      </c>
      <c r="V6" s="3"/>
      <c r="W6" s="20"/>
    </row>
    <row r="7" spans="1:23" ht="15" hidden="1" customHeight="1">
      <c r="A7" s="163"/>
      <c r="B7" s="29" t="s">
        <v>24</v>
      </c>
      <c r="C7" s="30" t="s">
        <v>25</v>
      </c>
      <c r="D7" s="62">
        <v>42</v>
      </c>
      <c r="E7" s="30">
        <v>19.3</v>
      </c>
      <c r="F7" s="83" t="s">
        <v>26</v>
      </c>
      <c r="H7" s="12">
        <v>6.5</v>
      </c>
      <c r="I7" s="1"/>
      <c r="J7" s="1">
        <v>4.5</v>
      </c>
      <c r="K7" s="1">
        <v>9</v>
      </c>
      <c r="L7" s="1"/>
      <c r="M7" s="1"/>
      <c r="N7" s="1">
        <v>7.5</v>
      </c>
      <c r="O7" s="1"/>
      <c r="P7" s="1"/>
      <c r="Q7" s="1"/>
      <c r="R7" s="1"/>
      <c r="S7" s="126">
        <f>IFERROR(AVERAGE(H7:R7),0)</f>
        <v>6.875</v>
      </c>
      <c r="T7" s="127">
        <f>IFERROR(D7/S7," ")</f>
        <v>6.1090909090909093</v>
      </c>
      <c r="U7" s="133">
        <f>IFERROR(D7/E7," ")</f>
        <v>2.176165803108808</v>
      </c>
      <c r="V7" s="3"/>
      <c r="W7" s="20"/>
    </row>
    <row r="8" spans="1:23" hidden="1">
      <c r="A8" s="48"/>
      <c r="B8" s="12" t="s">
        <v>189</v>
      </c>
      <c r="C8" s="1" t="s">
        <v>122</v>
      </c>
      <c r="D8" s="63">
        <v>43</v>
      </c>
      <c r="E8" s="1">
        <v>11</v>
      </c>
      <c r="F8" s="81" t="s">
        <v>43</v>
      </c>
      <c r="H8" s="12">
        <v>7.25</v>
      </c>
      <c r="I8" s="1"/>
      <c r="J8" s="1">
        <v>6.5</v>
      </c>
      <c r="K8" s="1"/>
      <c r="L8" s="1"/>
      <c r="M8" s="1">
        <v>7</v>
      </c>
      <c r="N8" s="1">
        <v>8</v>
      </c>
      <c r="O8" s="1"/>
      <c r="P8" s="1"/>
      <c r="Q8" s="1"/>
      <c r="R8" s="1"/>
      <c r="S8" s="126">
        <f>IFERROR(AVERAGE(H8:R8),0)</f>
        <v>7.1875</v>
      </c>
      <c r="T8" s="127">
        <f>IFERROR(D8/S8," ")</f>
        <v>5.982608695652174</v>
      </c>
      <c r="U8" s="133">
        <f>IFERROR(D8/E8," ")</f>
        <v>3.9090909090909092</v>
      </c>
      <c r="V8" s="3"/>
      <c r="W8" s="20"/>
    </row>
    <row r="9" spans="1:23" hidden="1">
      <c r="A9" s="48"/>
      <c r="B9" s="12" t="s">
        <v>184</v>
      </c>
      <c r="C9" s="8" t="s">
        <v>35</v>
      </c>
      <c r="D9" s="63">
        <v>44.95</v>
      </c>
      <c r="E9" s="1">
        <v>22</v>
      </c>
      <c r="F9" s="81" t="s">
        <v>36</v>
      </c>
      <c r="H9" s="12">
        <v>6.5</v>
      </c>
      <c r="I9" s="1"/>
      <c r="J9" s="1">
        <v>6</v>
      </c>
      <c r="K9" s="1"/>
      <c r="L9" s="1"/>
      <c r="M9" s="1"/>
      <c r="N9" s="1">
        <v>7</v>
      </c>
      <c r="O9" s="1"/>
      <c r="P9" s="1"/>
      <c r="Q9" s="1"/>
      <c r="R9" s="1"/>
      <c r="S9" s="126">
        <f>IFERROR(AVERAGE(H9:R9),0)</f>
        <v>6.5</v>
      </c>
      <c r="T9" s="127">
        <f>IFERROR(D9/S9," ")</f>
        <v>6.9153846153846157</v>
      </c>
      <c r="U9" s="133">
        <f>IFERROR(D9/E9," ")</f>
        <v>2.0431818181818184</v>
      </c>
      <c r="V9" s="3"/>
      <c r="W9" s="20" t="s">
        <v>41</v>
      </c>
    </row>
    <row r="10" spans="1:23">
      <c r="A10" s="48"/>
      <c r="B10" s="12" t="s">
        <v>194</v>
      </c>
      <c r="C10" s="1" t="s">
        <v>195</v>
      </c>
      <c r="D10" s="63">
        <v>44.95</v>
      </c>
      <c r="E10" s="1">
        <v>20.399999999999999</v>
      </c>
      <c r="F10" s="81" t="s">
        <v>196</v>
      </c>
      <c r="H10" s="12">
        <v>6.5</v>
      </c>
      <c r="I10" s="1"/>
      <c r="J10" s="1">
        <v>5.85</v>
      </c>
      <c r="K10" s="1"/>
      <c r="L10" s="1"/>
      <c r="M10" s="1"/>
      <c r="N10" s="1">
        <v>6.8</v>
      </c>
      <c r="O10" s="1"/>
      <c r="P10" s="1"/>
      <c r="Q10" s="1">
        <v>6.6</v>
      </c>
      <c r="R10" s="1"/>
      <c r="S10" s="126">
        <f>IFERROR(AVERAGE(H10:R10),0)</f>
        <v>6.4375</v>
      </c>
      <c r="T10" s="127">
        <f>IFERROR(D10/S10," ")</f>
        <v>6.9825242718446603</v>
      </c>
      <c r="U10" s="133">
        <f>IFERROR(D10/E10," ")</f>
        <v>2.2034313725490198</v>
      </c>
      <c r="V10" s="3"/>
      <c r="W10" s="20"/>
    </row>
    <row r="11" spans="1:23" hidden="1">
      <c r="A11" s="48"/>
      <c r="B11" s="12" t="s">
        <v>154</v>
      </c>
      <c r="C11" s="1" t="s">
        <v>40</v>
      </c>
      <c r="D11" s="63">
        <v>45</v>
      </c>
      <c r="E11" s="1">
        <v>19</v>
      </c>
      <c r="F11" s="81" t="s">
        <v>26</v>
      </c>
      <c r="H11" s="12">
        <v>6.6</v>
      </c>
      <c r="I11" s="1">
        <v>7.7</v>
      </c>
      <c r="J11" s="1">
        <v>6.5</v>
      </c>
      <c r="K11" s="1">
        <v>7.2</v>
      </c>
      <c r="L11" s="1"/>
      <c r="M11" s="1">
        <v>7.4</v>
      </c>
      <c r="N11" s="1">
        <v>7.5</v>
      </c>
      <c r="O11" s="1"/>
      <c r="P11" s="1">
        <v>8</v>
      </c>
      <c r="Q11" s="1">
        <v>7.2</v>
      </c>
      <c r="R11" s="1"/>
      <c r="S11" s="126">
        <f>IFERROR(AVERAGE(H11:R11),0)</f>
        <v>7.2625000000000002</v>
      </c>
      <c r="T11" s="127">
        <f>IFERROR(D11/S11," ")</f>
        <v>6.1962134251290877</v>
      </c>
      <c r="U11" s="133">
        <f>IFERROR(D11/E11," ")</f>
        <v>2.3684210526315788</v>
      </c>
      <c r="V11" s="3"/>
      <c r="W11" s="20" t="s">
        <v>47</v>
      </c>
    </row>
    <row r="12" spans="1:23">
      <c r="A12" s="48"/>
      <c r="B12" s="12" t="s">
        <v>169</v>
      </c>
      <c r="C12" s="1" t="s">
        <v>170</v>
      </c>
      <c r="D12" s="63">
        <v>45.9</v>
      </c>
      <c r="E12" s="1">
        <v>22</v>
      </c>
      <c r="F12" s="81" t="s">
        <v>43</v>
      </c>
      <c r="H12" s="12">
        <v>5.5</v>
      </c>
      <c r="I12" s="1"/>
      <c r="J12" s="1"/>
      <c r="K12" s="1">
        <v>6.2</v>
      </c>
      <c r="L12" s="1"/>
      <c r="M12" s="1">
        <v>6.4</v>
      </c>
      <c r="N12" s="1">
        <v>6.75</v>
      </c>
      <c r="O12" s="1"/>
      <c r="P12" s="1">
        <v>4.2</v>
      </c>
      <c r="Q12" s="1">
        <v>4</v>
      </c>
      <c r="R12" s="1"/>
      <c r="S12" s="126">
        <f>IFERROR(AVERAGE(H12:R12),0)</f>
        <v>5.5083333333333329</v>
      </c>
      <c r="T12" s="127">
        <f>IFERROR(D12/S12," ")</f>
        <v>8.3328290468986381</v>
      </c>
      <c r="U12" s="133">
        <f>IFERROR(D12/E12," ")</f>
        <v>2.0863636363636364</v>
      </c>
      <c r="V12" s="3"/>
      <c r="W12" s="20"/>
    </row>
    <row r="13" spans="1:23" hidden="1">
      <c r="B13" s="12" t="s">
        <v>69</v>
      </c>
      <c r="C13" s="1" t="s">
        <v>54</v>
      </c>
      <c r="D13" s="63">
        <v>46.99</v>
      </c>
      <c r="E13" s="1">
        <v>15</v>
      </c>
      <c r="F13" s="81" t="s">
        <v>36</v>
      </c>
      <c r="H13" s="12">
        <v>5.5</v>
      </c>
      <c r="I13" s="1"/>
      <c r="J13" s="1">
        <v>4</v>
      </c>
      <c r="K13" s="1"/>
      <c r="L13" s="1"/>
      <c r="M13" s="1"/>
      <c r="N13" s="1"/>
      <c r="O13" s="1"/>
      <c r="P13" s="1"/>
      <c r="Q13" s="1"/>
      <c r="R13" s="1"/>
      <c r="S13" s="126">
        <f>IFERROR(AVERAGE(H13:R13),0)</f>
        <v>4.75</v>
      </c>
      <c r="T13" s="127">
        <f>IFERROR(D13/S13," ")</f>
        <v>9.892631578947368</v>
      </c>
      <c r="U13" s="133">
        <f>IFERROR(D13/E13," ")</f>
        <v>3.1326666666666667</v>
      </c>
      <c r="V13" s="3"/>
      <c r="W13" s="20"/>
    </row>
    <row r="14" spans="1:23" hidden="1">
      <c r="B14" s="12" t="s">
        <v>58</v>
      </c>
      <c r="C14" s="1" t="s">
        <v>54</v>
      </c>
      <c r="D14" s="63">
        <v>48</v>
      </c>
      <c r="E14" s="1">
        <v>19</v>
      </c>
      <c r="F14" s="81" t="s">
        <v>43</v>
      </c>
      <c r="H14" s="12">
        <v>6.5</v>
      </c>
      <c r="I14" s="1"/>
      <c r="J14" s="1">
        <v>6.75</v>
      </c>
      <c r="K14" s="1">
        <v>7</v>
      </c>
      <c r="L14" s="1"/>
      <c r="M14" s="1"/>
      <c r="N14" s="1">
        <v>7</v>
      </c>
      <c r="O14" s="1"/>
      <c r="P14" s="1"/>
      <c r="Q14" s="1">
        <v>7</v>
      </c>
      <c r="R14" s="1"/>
      <c r="S14" s="126">
        <f>IFERROR(AVERAGE(H14:R14),0)</f>
        <v>6.85</v>
      </c>
      <c r="T14" s="127">
        <f>IFERROR(D14/S14," ")</f>
        <v>7.007299270072993</v>
      </c>
      <c r="U14" s="133">
        <f>IFERROR(D14/E14," ")</f>
        <v>2.5263157894736841</v>
      </c>
      <c r="V14" s="3"/>
      <c r="W14" s="20"/>
    </row>
    <row r="15" spans="1:23" hidden="1">
      <c r="B15" s="135" t="s">
        <v>115</v>
      </c>
      <c r="C15" s="102" t="s">
        <v>116</v>
      </c>
      <c r="D15" s="172">
        <v>48.99</v>
      </c>
      <c r="E15" s="102">
        <v>0</v>
      </c>
      <c r="F15" s="86" t="s">
        <v>22</v>
      </c>
      <c r="G15" s="125"/>
      <c r="H15" s="135"/>
      <c r="I15" s="102"/>
      <c r="J15" s="102">
        <v>5.75</v>
      </c>
      <c r="K15" s="102"/>
      <c r="L15" s="102"/>
      <c r="M15" s="102"/>
      <c r="N15" s="102"/>
      <c r="O15" s="102"/>
      <c r="P15" s="102"/>
      <c r="Q15" s="102"/>
      <c r="R15" s="102"/>
      <c r="S15" s="126">
        <f>IFERROR(AVERAGE(H15:R15),0)</f>
        <v>5.75</v>
      </c>
      <c r="T15" s="127">
        <f>IFERROR(D15/S15," ")</f>
        <v>8.52</v>
      </c>
      <c r="U15" s="133" t="str">
        <f>IFERROR(D15/E15," ")</f>
        <v xml:space="preserve"> </v>
      </c>
      <c r="V15" s="3"/>
      <c r="W15" s="20" t="s">
        <v>55</v>
      </c>
    </row>
    <row r="16" spans="1:23" hidden="1">
      <c r="A16" s="48"/>
      <c r="B16" s="12" t="s">
        <v>317</v>
      </c>
      <c r="C16" s="63" t="s">
        <v>61</v>
      </c>
      <c r="D16" s="63">
        <v>49</v>
      </c>
      <c r="E16" s="1">
        <v>21</v>
      </c>
      <c r="F16" s="81" t="s">
        <v>15</v>
      </c>
      <c r="H16" s="12"/>
      <c r="I16" s="1"/>
      <c r="J16" s="1">
        <v>5.8</v>
      </c>
      <c r="K16" s="1"/>
      <c r="L16" s="1"/>
      <c r="M16" s="1"/>
      <c r="N16" s="1">
        <v>6</v>
      </c>
      <c r="O16" s="1"/>
      <c r="P16" s="1"/>
      <c r="Q16" s="1"/>
      <c r="R16" s="1">
        <v>7.5</v>
      </c>
      <c r="S16" s="126">
        <f>IFERROR(AVERAGE(H16:R16),0)</f>
        <v>6.4333333333333336</v>
      </c>
      <c r="T16" s="127">
        <f>IFERROR(D16/S16," ")</f>
        <v>7.6165803108808285</v>
      </c>
      <c r="U16" s="133">
        <f>IFERROR(D16/E16," ")</f>
        <v>2.3333333333333335</v>
      </c>
      <c r="V16" s="3"/>
      <c r="W16" s="20" t="s">
        <v>57</v>
      </c>
    </row>
    <row r="17" spans="1:23" hidden="1">
      <c r="A17" s="48"/>
      <c r="B17" s="12" t="s">
        <v>202</v>
      </c>
      <c r="C17" s="1" t="s">
        <v>203</v>
      </c>
      <c r="D17" s="63">
        <v>49.9</v>
      </c>
      <c r="E17" s="1">
        <v>22</v>
      </c>
      <c r="F17" s="81" t="s">
        <v>43</v>
      </c>
      <c r="H17" s="12">
        <v>7</v>
      </c>
      <c r="I17" s="1"/>
      <c r="J17" s="1"/>
      <c r="K17" s="1"/>
      <c r="L17" s="1"/>
      <c r="M17" s="1">
        <v>6</v>
      </c>
      <c r="N17" s="1">
        <v>8</v>
      </c>
      <c r="O17" s="1"/>
      <c r="P17" s="1"/>
      <c r="Q17" s="1">
        <v>7</v>
      </c>
      <c r="R17" s="1"/>
      <c r="S17" s="126">
        <f>IFERROR(AVERAGE(H17:R17),0)</f>
        <v>7</v>
      </c>
      <c r="T17" s="127">
        <f>IFERROR(D18/S17," ")</f>
        <v>7.1357142857142861</v>
      </c>
      <c r="U17" s="133">
        <f>IFERROR(D18/E18," ")</f>
        <v>2.4975000000000001</v>
      </c>
      <c r="V17" s="3"/>
      <c r="W17" s="20" t="s">
        <v>59</v>
      </c>
    </row>
    <row r="18" spans="1:23" hidden="1">
      <c r="A18" s="48"/>
      <c r="B18" s="12" t="s">
        <v>167</v>
      </c>
      <c r="C18" s="1" t="s">
        <v>168</v>
      </c>
      <c r="D18" s="63">
        <v>49.95</v>
      </c>
      <c r="E18" s="1">
        <v>20</v>
      </c>
      <c r="F18" s="81" t="s">
        <v>14</v>
      </c>
      <c r="H18" s="12">
        <v>6</v>
      </c>
      <c r="I18" s="1"/>
      <c r="J18" s="1">
        <v>5.8</v>
      </c>
      <c r="K18" s="1">
        <v>7</v>
      </c>
      <c r="L18" s="1"/>
      <c r="M18" s="1">
        <v>7.7</v>
      </c>
      <c r="N18" s="1">
        <v>7.87</v>
      </c>
      <c r="O18" s="1"/>
      <c r="P18" s="1">
        <v>7.5</v>
      </c>
      <c r="Q18" s="1">
        <v>7</v>
      </c>
      <c r="R18" s="1"/>
      <c r="S18" s="126">
        <f>IFERROR(AVERAGE(H18:R18),0)</f>
        <v>6.9814285714285713</v>
      </c>
      <c r="T18" s="127">
        <f>IFERROR(D18/S18," ")</f>
        <v>7.154696132596686</v>
      </c>
      <c r="U18" s="133">
        <f>IFERROR(D18/E18," ")</f>
        <v>2.4975000000000001</v>
      </c>
      <c r="V18" s="3"/>
      <c r="W18" s="20"/>
    </row>
    <row r="19" spans="1:23">
      <c r="A19" s="48"/>
      <c r="B19" s="12" t="s">
        <v>191</v>
      </c>
      <c r="C19" s="1" t="s">
        <v>49</v>
      </c>
      <c r="D19" s="63">
        <v>49.95</v>
      </c>
      <c r="E19" s="1">
        <v>22</v>
      </c>
      <c r="F19" s="81" t="s">
        <v>36</v>
      </c>
      <c r="H19" s="12">
        <v>6.5</v>
      </c>
      <c r="I19" s="1">
        <v>6.2</v>
      </c>
      <c r="J19" s="1">
        <v>6.8</v>
      </c>
      <c r="K19" s="1">
        <v>7</v>
      </c>
      <c r="L19" s="1">
        <v>7.8</v>
      </c>
      <c r="M19" s="1">
        <v>6.9</v>
      </c>
      <c r="N19" s="1">
        <v>7.3</v>
      </c>
      <c r="O19" s="1"/>
      <c r="P19" s="1">
        <v>6.1</v>
      </c>
      <c r="Q19" s="1"/>
      <c r="R19" s="1"/>
      <c r="S19" s="126">
        <f>IFERROR(AVERAGE(H19:R19),0)</f>
        <v>6.8249999999999993</v>
      </c>
      <c r="T19" s="127">
        <f>IFERROR(D19/S19," ")</f>
        <v>7.3186813186813202</v>
      </c>
      <c r="U19" s="133">
        <f>IFERROR(D19/E19," ")</f>
        <v>2.2704545454545455</v>
      </c>
      <c r="V19" s="3"/>
      <c r="W19" s="20"/>
    </row>
    <row r="20" spans="1:23" hidden="1">
      <c r="A20" s="48"/>
      <c r="B20" s="12" t="s">
        <v>282</v>
      </c>
      <c r="C20" s="1" t="s">
        <v>283</v>
      </c>
      <c r="D20" s="63">
        <v>49.95</v>
      </c>
      <c r="E20" s="1">
        <v>6</v>
      </c>
      <c r="F20" s="81" t="s">
        <v>43</v>
      </c>
      <c r="H20" s="12">
        <v>7.5</v>
      </c>
      <c r="I20" s="1"/>
      <c r="J20" s="1">
        <v>6.5</v>
      </c>
      <c r="K20" s="1"/>
      <c r="L20" s="1"/>
      <c r="M20" s="1">
        <v>6.8</v>
      </c>
      <c r="N20" s="1">
        <v>6</v>
      </c>
      <c r="O20" s="1">
        <v>7</v>
      </c>
      <c r="P20" s="1"/>
      <c r="Q20" s="1">
        <v>7</v>
      </c>
      <c r="R20" s="1">
        <v>5</v>
      </c>
      <c r="S20" s="126">
        <f>IFERROR(AVERAGE(H20:R20),0)</f>
        <v>6.5428571428571427</v>
      </c>
      <c r="T20" s="127">
        <f>IFERROR(D20/S20," ")</f>
        <v>7.6342794759825336</v>
      </c>
      <c r="U20" s="133">
        <f>IFERROR(D20/E20," ")</f>
        <v>8.3250000000000011</v>
      </c>
      <c r="V20" s="3"/>
      <c r="W20" s="20" t="s">
        <v>64</v>
      </c>
    </row>
    <row r="21" spans="1:23" hidden="1">
      <c r="A21" s="48"/>
      <c r="B21" s="12" t="s">
        <v>156</v>
      </c>
      <c r="C21" s="1" t="s">
        <v>40</v>
      </c>
      <c r="D21" s="63">
        <v>49.99</v>
      </c>
      <c r="E21" s="1">
        <v>17</v>
      </c>
      <c r="F21" s="81" t="s">
        <v>43</v>
      </c>
      <c r="H21" s="12">
        <v>6.3</v>
      </c>
      <c r="I21" s="1"/>
      <c r="J21" s="1">
        <v>6</v>
      </c>
      <c r="K21" s="1">
        <v>8</v>
      </c>
      <c r="L21" s="1">
        <v>6</v>
      </c>
      <c r="M21" s="1">
        <v>8</v>
      </c>
      <c r="N21" s="1">
        <v>8.3000000000000007</v>
      </c>
      <c r="O21" s="1"/>
      <c r="P21" s="1"/>
      <c r="Q21" s="1">
        <v>7</v>
      </c>
      <c r="R21" s="1"/>
      <c r="S21" s="126">
        <f>IFERROR(AVERAGE(H21:R21),0)</f>
        <v>7.0857142857142845</v>
      </c>
      <c r="T21" s="127">
        <f>IFERROR(D21/S21," ")</f>
        <v>7.0550403225806466</v>
      </c>
      <c r="U21" s="133">
        <f>IFERROR(D21/E21," ")</f>
        <v>2.9405882352941179</v>
      </c>
      <c r="V21" s="3"/>
      <c r="W21" s="20" t="s">
        <v>66</v>
      </c>
    </row>
    <row r="22" spans="1:23" hidden="1">
      <c r="B22" s="12" t="s">
        <v>27</v>
      </c>
      <c r="C22" s="8" t="s">
        <v>25</v>
      </c>
      <c r="D22" s="171">
        <v>51</v>
      </c>
      <c r="E22" s="8">
        <v>19.600000000000001</v>
      </c>
      <c r="F22" s="81" t="s">
        <v>28</v>
      </c>
      <c r="H22" s="12">
        <v>3.5</v>
      </c>
      <c r="I22" s="1"/>
      <c r="J22" s="1">
        <v>3</v>
      </c>
      <c r="K22" s="1"/>
      <c r="L22" s="1"/>
      <c r="M22" s="1"/>
      <c r="N22" s="1"/>
      <c r="O22" s="1"/>
      <c r="P22" s="1"/>
      <c r="Q22" s="1">
        <v>5</v>
      </c>
      <c r="R22" s="1"/>
      <c r="S22" s="126">
        <f>IFERROR(AVERAGE(H22:R22),0)</f>
        <v>3.8333333333333335</v>
      </c>
      <c r="T22" s="127">
        <f>IFERROR(D22/S22," ")</f>
        <v>13.304347826086955</v>
      </c>
      <c r="U22" s="133">
        <f>IFERROR(D22/E22," ")</f>
        <v>2.6020408163265305</v>
      </c>
      <c r="V22" s="3"/>
      <c r="W22" s="20" t="s">
        <v>68</v>
      </c>
    </row>
    <row r="23" spans="1:23">
      <c r="A23" s="48"/>
      <c r="B23" s="12" t="s">
        <v>186</v>
      </c>
      <c r="C23" s="1" t="s">
        <v>187</v>
      </c>
      <c r="D23" s="63">
        <v>52.95</v>
      </c>
      <c r="E23" s="1">
        <v>22</v>
      </c>
      <c r="F23" s="81" t="s">
        <v>165</v>
      </c>
      <c r="H23" s="12"/>
      <c r="I23" s="1"/>
      <c r="J23" s="1">
        <v>7.2</v>
      </c>
      <c r="K23" s="1">
        <v>7.1</v>
      </c>
      <c r="L23" s="1"/>
      <c r="M23" s="1">
        <v>7.2</v>
      </c>
      <c r="N23" s="1">
        <v>6.8</v>
      </c>
      <c r="O23" s="1"/>
      <c r="P23" s="1">
        <v>7.3</v>
      </c>
      <c r="Q23" s="1"/>
      <c r="R23" s="1"/>
      <c r="S23" s="126">
        <f>IFERROR(AVERAGE(H23:R23),0)</f>
        <v>7.12</v>
      </c>
      <c r="T23" s="127">
        <f>IFERROR(D23/S23," ")</f>
        <v>7.4367977528089888</v>
      </c>
      <c r="U23" s="133">
        <f>IFERROR(D23/E23," ")</f>
        <v>2.4068181818181817</v>
      </c>
      <c r="V23" s="3"/>
      <c r="W23" s="20"/>
    </row>
    <row r="24" spans="1:23">
      <c r="A24" s="48"/>
      <c r="B24" s="25" t="s">
        <v>180</v>
      </c>
      <c r="C24" s="1" t="s">
        <v>170</v>
      </c>
      <c r="D24" s="63">
        <v>52.99</v>
      </c>
      <c r="E24" s="1">
        <v>22</v>
      </c>
      <c r="F24" s="81" t="s">
        <v>14</v>
      </c>
      <c r="H24" s="12">
        <v>5.5</v>
      </c>
      <c r="I24" s="1"/>
      <c r="J24" s="1">
        <v>6.2</v>
      </c>
      <c r="K24" s="1">
        <v>7.8</v>
      </c>
      <c r="L24" s="1"/>
      <c r="M24" s="1">
        <v>6.2</v>
      </c>
      <c r="N24" s="1">
        <v>6</v>
      </c>
      <c r="O24" s="1"/>
      <c r="P24" s="1">
        <v>6.3</v>
      </c>
      <c r="Q24" s="1">
        <v>7</v>
      </c>
      <c r="R24" s="1"/>
      <c r="S24" s="126">
        <f>IFERROR(AVERAGE(H24:R24),0)</f>
        <v>6.4285714285714288</v>
      </c>
      <c r="T24" s="127">
        <f>IFERROR(D24/S24," ")</f>
        <v>8.2428888888888885</v>
      </c>
      <c r="U24" s="133">
        <f>IFERROR(D24/E24," ")</f>
        <v>2.4086363636363637</v>
      </c>
      <c r="V24" s="3"/>
      <c r="W24" s="20"/>
    </row>
    <row r="25" spans="1:23" ht="15" hidden="1" customHeight="1">
      <c r="A25" s="163"/>
      <c r="B25" s="135" t="s">
        <v>111</v>
      </c>
      <c r="C25" s="168" t="s">
        <v>112</v>
      </c>
      <c r="D25" s="172">
        <v>53.9</v>
      </c>
      <c r="E25" s="102">
        <v>22</v>
      </c>
      <c r="F25" s="86" t="s">
        <v>22</v>
      </c>
      <c r="G25" s="125" t="s">
        <v>113</v>
      </c>
      <c r="H25" s="135">
        <v>5</v>
      </c>
      <c r="I25" s="102"/>
      <c r="J25" s="102">
        <v>4</v>
      </c>
      <c r="K25" s="102"/>
      <c r="L25" s="102"/>
      <c r="M25" s="102"/>
      <c r="N25" s="102">
        <v>4</v>
      </c>
      <c r="O25" s="102"/>
      <c r="P25" s="102"/>
      <c r="Q25" s="102"/>
      <c r="R25" s="102"/>
      <c r="S25" s="126">
        <f>IFERROR(AVERAGE(H25:R25),0)</f>
        <v>4.333333333333333</v>
      </c>
      <c r="T25" s="127">
        <f>IFERROR(D25/S25," ")</f>
        <v>12.438461538461539</v>
      </c>
      <c r="U25" s="133">
        <f>IFERROR(D25/E25," ")</f>
        <v>2.4499999999999997</v>
      </c>
      <c r="W25" s="20" t="s">
        <v>74</v>
      </c>
    </row>
    <row r="26" spans="1:23" hidden="1">
      <c r="A26" s="48"/>
      <c r="B26" s="12" t="s">
        <v>208</v>
      </c>
      <c r="C26" s="34" t="s">
        <v>30</v>
      </c>
      <c r="D26" s="63">
        <v>53.99</v>
      </c>
      <c r="E26" s="1">
        <v>20</v>
      </c>
      <c r="F26" s="81" t="s">
        <v>165</v>
      </c>
      <c r="H26" s="12">
        <v>7.5</v>
      </c>
      <c r="I26" s="1">
        <v>7.2</v>
      </c>
      <c r="J26" s="1">
        <v>8</v>
      </c>
      <c r="K26" s="1">
        <v>7.5</v>
      </c>
      <c r="L26" s="1"/>
      <c r="M26" s="1">
        <v>8.8000000000000007</v>
      </c>
      <c r="N26" s="1">
        <v>8.5</v>
      </c>
      <c r="O26" s="1">
        <v>8.5</v>
      </c>
      <c r="P26" s="1"/>
      <c r="Q26" s="1">
        <v>8.1</v>
      </c>
      <c r="R26" s="1"/>
      <c r="S26" s="126">
        <f>IFERROR(AVERAGE(H26:R26),0)</f>
        <v>8.0124999999999993</v>
      </c>
      <c r="T26" s="127">
        <f>IFERROR(D26/S26," ")</f>
        <v>6.7382215288611551</v>
      </c>
      <c r="U26" s="133">
        <f>IFERROR(D26/E26," ")</f>
        <v>2.6995</v>
      </c>
      <c r="W26" s="20" t="s">
        <v>76</v>
      </c>
    </row>
    <row r="27" spans="1:23" hidden="1">
      <c r="A27" s="19"/>
      <c r="B27" s="12" t="s">
        <v>39</v>
      </c>
      <c r="C27" s="34" t="s">
        <v>40</v>
      </c>
      <c r="D27" s="63">
        <v>54</v>
      </c>
      <c r="E27" s="1">
        <v>19.399999999999999</v>
      </c>
      <c r="F27" s="81" t="s">
        <v>22</v>
      </c>
      <c r="H27" s="12">
        <v>0.1</v>
      </c>
      <c r="I27" s="1"/>
      <c r="J27" s="1">
        <v>2</v>
      </c>
      <c r="K27" s="1">
        <v>3</v>
      </c>
      <c r="L27" s="1"/>
      <c r="M27" s="1"/>
      <c r="N27" s="1">
        <v>2</v>
      </c>
      <c r="O27" s="1"/>
      <c r="P27" s="1"/>
      <c r="Q27" s="1">
        <v>4</v>
      </c>
      <c r="R27" s="1"/>
      <c r="S27" s="126">
        <f>IFERROR(AVERAGE(H27:R27),0)</f>
        <v>2.2199999999999998</v>
      </c>
      <c r="T27" s="127">
        <f>IFERROR(D27/S27," ")</f>
        <v>24.324324324324326</v>
      </c>
      <c r="U27" s="133">
        <f>IFERROR(D27/E27," ")</f>
        <v>2.7835051546391756</v>
      </c>
      <c r="W27" s="20"/>
    </row>
    <row r="28" spans="1:23" hidden="1">
      <c r="B28" s="12" t="s">
        <v>123</v>
      </c>
      <c r="C28" s="34" t="s">
        <v>54</v>
      </c>
      <c r="D28" s="63">
        <v>54</v>
      </c>
      <c r="E28" s="1">
        <v>21</v>
      </c>
      <c r="F28" s="81" t="s">
        <v>43</v>
      </c>
      <c r="H28" s="12">
        <v>7.1</v>
      </c>
      <c r="I28" s="1"/>
      <c r="J28" s="1">
        <v>7</v>
      </c>
      <c r="K28" s="1">
        <v>7</v>
      </c>
      <c r="L28" s="1"/>
      <c r="M28" s="1"/>
      <c r="N28" s="1">
        <v>6.9</v>
      </c>
      <c r="O28" s="1"/>
      <c r="P28" s="1"/>
      <c r="Q28" s="1">
        <v>7.2</v>
      </c>
      <c r="R28" s="1"/>
      <c r="S28" s="126">
        <f>IFERROR(AVERAGE(H28:R28),0)</f>
        <v>7.0400000000000009</v>
      </c>
      <c r="T28" s="127">
        <f>IFERROR(D28/S28," ")</f>
        <v>7.6704545454545441</v>
      </c>
      <c r="U28" s="133">
        <f>IFERROR(D28/E28," ")</f>
        <v>2.5714285714285716</v>
      </c>
      <c r="W28" s="20"/>
    </row>
    <row r="29" spans="1:23">
      <c r="A29" s="48"/>
      <c r="B29" s="12" t="s">
        <v>200</v>
      </c>
      <c r="C29" s="34" t="s">
        <v>201</v>
      </c>
      <c r="D29" s="89">
        <v>54.99</v>
      </c>
      <c r="E29" s="1">
        <v>22</v>
      </c>
      <c r="F29" s="81" t="s">
        <v>14</v>
      </c>
      <c r="H29" s="12">
        <v>6.7</v>
      </c>
      <c r="I29" s="1"/>
      <c r="J29" s="1">
        <v>6.5</v>
      </c>
      <c r="K29" s="1">
        <v>7.3</v>
      </c>
      <c r="L29" s="1"/>
      <c r="M29" s="1"/>
      <c r="N29" s="1">
        <v>7.2</v>
      </c>
      <c r="O29" s="1"/>
      <c r="P29" s="1"/>
      <c r="Q29" s="1">
        <v>7</v>
      </c>
      <c r="R29" s="1"/>
      <c r="S29" s="126">
        <f>IFERROR(AVERAGE(H29:R29),0)</f>
        <v>6.94</v>
      </c>
      <c r="T29" s="127">
        <f>IFERROR(D30/S29," ")</f>
        <v>7.923631123919308</v>
      </c>
      <c r="U29" s="133">
        <f>IFERROR(D30/E30," ")</f>
        <v>2.2084337349397591</v>
      </c>
      <c r="W29" s="20"/>
    </row>
    <row r="30" spans="1:23">
      <c r="A30" s="48"/>
      <c r="B30" s="35" t="s">
        <v>313</v>
      </c>
      <c r="C30" s="64" t="s">
        <v>49</v>
      </c>
      <c r="D30" s="64">
        <v>54.99</v>
      </c>
      <c r="E30" s="26">
        <v>24.9</v>
      </c>
      <c r="F30" s="81" t="s">
        <v>165</v>
      </c>
      <c r="H30" s="12">
        <v>7.5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26">
        <f>IFERROR(AVERAGE(H30:R30),0)</f>
        <v>7.5</v>
      </c>
      <c r="T30" s="127">
        <f>IFERROR(D30/S30," ")</f>
        <v>7.3319999999999999</v>
      </c>
      <c r="U30" s="133">
        <f>IFERROR(D30/E30," ")</f>
        <v>2.2084337349397591</v>
      </c>
      <c r="W30" s="28"/>
    </row>
    <row r="31" spans="1:23">
      <c r="A31" s="48"/>
      <c r="B31" s="25" t="s">
        <v>164</v>
      </c>
      <c r="C31" s="26" t="s">
        <v>49</v>
      </c>
      <c r="D31" s="64">
        <v>55</v>
      </c>
      <c r="E31" s="26">
        <v>22</v>
      </c>
      <c r="F31" s="81" t="s">
        <v>165</v>
      </c>
      <c r="H31" s="12">
        <v>7.25</v>
      </c>
      <c r="I31" s="1"/>
      <c r="J31" s="1"/>
      <c r="K31" s="1">
        <v>7.4</v>
      </c>
      <c r="L31" s="1">
        <v>6.3</v>
      </c>
      <c r="M31" s="1">
        <v>6.5</v>
      </c>
      <c r="N31" s="1">
        <v>6.2</v>
      </c>
      <c r="O31" s="1"/>
      <c r="P31" s="1">
        <v>7.2</v>
      </c>
      <c r="Q31" s="1">
        <v>6.1</v>
      </c>
      <c r="R31" s="1"/>
      <c r="S31" s="126">
        <f>IFERROR(AVERAGE(H31:R31),0)</f>
        <v>6.7071428571428573</v>
      </c>
      <c r="T31" s="127">
        <f>IFERROR(D31/S31," ")</f>
        <v>8.2002129925452607</v>
      </c>
      <c r="U31" s="133">
        <f>IFERROR(D31/E31," ")</f>
        <v>2.5</v>
      </c>
      <c r="W31" s="28"/>
    </row>
    <row r="32" spans="1:23">
      <c r="A32" s="48"/>
      <c r="B32" s="25" t="s">
        <v>306</v>
      </c>
      <c r="C32" s="64" t="s">
        <v>307</v>
      </c>
      <c r="D32" s="64">
        <v>55</v>
      </c>
      <c r="E32" s="26">
        <v>20</v>
      </c>
      <c r="F32" s="81" t="s">
        <v>15</v>
      </c>
      <c r="H32" s="12">
        <v>7.5</v>
      </c>
      <c r="I32" s="1"/>
      <c r="J32" s="1">
        <v>6.8</v>
      </c>
      <c r="K32" s="1"/>
      <c r="L32" s="1"/>
      <c r="M32" s="1"/>
      <c r="N32" s="1">
        <v>7.58</v>
      </c>
      <c r="O32" s="1"/>
      <c r="P32" s="1"/>
      <c r="Q32" s="1"/>
      <c r="R32" s="1">
        <v>7</v>
      </c>
      <c r="S32" s="126">
        <f>IFERROR(AVERAGE(H32:R32),0)</f>
        <v>7.2200000000000006</v>
      </c>
      <c r="T32" s="127">
        <f>IFERROR(D32/S32," ")</f>
        <v>7.6177285318559553</v>
      </c>
      <c r="U32" s="133">
        <f>IFERROR(D32/E32," ")</f>
        <v>2.75</v>
      </c>
      <c r="W32" s="28"/>
    </row>
    <row r="33" spans="1:23">
      <c r="A33" s="48"/>
      <c r="B33" s="25" t="s">
        <v>238</v>
      </c>
      <c r="C33" s="26" t="s">
        <v>170</v>
      </c>
      <c r="D33" s="64">
        <v>55.79</v>
      </c>
      <c r="E33" s="26">
        <v>22</v>
      </c>
      <c r="F33" s="81" t="s">
        <v>43</v>
      </c>
      <c r="H33" s="12"/>
      <c r="I33" s="1"/>
      <c r="J33" s="1">
        <v>7.2</v>
      </c>
      <c r="K33" s="1"/>
      <c r="L33" s="1"/>
      <c r="M33" s="1"/>
      <c r="N33" s="1">
        <v>8</v>
      </c>
      <c r="O33" s="1"/>
      <c r="P33" s="1"/>
      <c r="Q33" s="1"/>
      <c r="R33" s="1"/>
      <c r="S33" s="126">
        <f>IFERROR(AVERAGE(H33:R33),0)</f>
        <v>7.6</v>
      </c>
      <c r="T33" s="127">
        <f>IFERROR(D33/S33," ")</f>
        <v>7.340789473684211</v>
      </c>
      <c r="U33" s="133">
        <f>IFERROR(D33/E33," ")</f>
        <v>2.5359090909090907</v>
      </c>
      <c r="W33" s="28" t="s">
        <v>85</v>
      </c>
    </row>
    <row r="34" spans="1:23">
      <c r="A34" s="48"/>
      <c r="B34" s="25" t="s">
        <v>293</v>
      </c>
      <c r="C34" s="64" t="s">
        <v>201</v>
      </c>
      <c r="D34" s="64">
        <v>55.95</v>
      </c>
      <c r="E34" s="26">
        <v>22</v>
      </c>
      <c r="F34" s="81" t="s">
        <v>43</v>
      </c>
      <c r="H34" s="12"/>
      <c r="I34" s="1"/>
      <c r="J34" s="1"/>
      <c r="K34" s="1">
        <v>7</v>
      </c>
      <c r="L34" s="1"/>
      <c r="M34" s="1">
        <v>7.7</v>
      </c>
      <c r="N34" s="1">
        <v>7.2</v>
      </c>
      <c r="O34" s="1"/>
      <c r="P34" s="1"/>
      <c r="Q34" s="1"/>
      <c r="R34" s="1">
        <v>8.5</v>
      </c>
      <c r="S34" s="126">
        <f>IFERROR(AVERAGE(H34:R34),0)</f>
        <v>7.6</v>
      </c>
      <c r="T34" s="127">
        <f>IFERROR(D34/S34," ")</f>
        <v>7.3618421052631584</v>
      </c>
      <c r="U34" s="133">
        <f>IFERROR(D34/E34," ")</f>
        <v>2.5431818181818184</v>
      </c>
      <c r="W34" s="28"/>
    </row>
    <row r="35" spans="1:23">
      <c r="A35" s="48"/>
      <c r="B35" s="25" t="s">
        <v>178</v>
      </c>
      <c r="C35" s="26" t="s">
        <v>51</v>
      </c>
      <c r="D35" s="64">
        <v>57</v>
      </c>
      <c r="E35" s="26">
        <v>22</v>
      </c>
      <c r="F35" s="84" t="s">
        <v>165</v>
      </c>
      <c r="H35" s="12">
        <v>6.5</v>
      </c>
      <c r="I35" s="1"/>
      <c r="J35" s="1">
        <v>6</v>
      </c>
      <c r="K35" s="1">
        <v>7</v>
      </c>
      <c r="L35" s="1"/>
      <c r="M35" s="1">
        <v>6.5</v>
      </c>
      <c r="N35" s="1">
        <v>6.5</v>
      </c>
      <c r="O35" s="1"/>
      <c r="P35" s="1">
        <v>6.9</v>
      </c>
      <c r="Q35" s="1">
        <v>6.7</v>
      </c>
      <c r="R35" s="1"/>
      <c r="S35" s="126">
        <f>IFERROR(AVERAGE(H35:R35),0)</f>
        <v>6.5857142857142863</v>
      </c>
      <c r="T35" s="127">
        <f>IFERROR(D35/S35," ")</f>
        <v>8.6550976138828624</v>
      </c>
      <c r="U35" s="133">
        <f>IFERROR(D35/E35," ")</f>
        <v>2.5909090909090908</v>
      </c>
      <c r="W35" s="28"/>
    </row>
    <row r="36" spans="1:23">
      <c r="A36" s="48"/>
      <c r="B36" s="25" t="s">
        <v>205</v>
      </c>
      <c r="C36" s="26" t="s">
        <v>206</v>
      </c>
      <c r="D36" s="64">
        <v>57.95</v>
      </c>
      <c r="E36" s="26">
        <v>22</v>
      </c>
      <c r="F36" s="81" t="s">
        <v>36</v>
      </c>
      <c r="H36" s="12">
        <v>6.5</v>
      </c>
      <c r="I36" s="1"/>
      <c r="J36" s="1">
        <v>5.9</v>
      </c>
      <c r="K36" s="1"/>
      <c r="L36" s="1"/>
      <c r="M36" s="1">
        <v>6.3</v>
      </c>
      <c r="N36" s="1">
        <v>6.4</v>
      </c>
      <c r="O36" s="1">
        <v>5.5</v>
      </c>
      <c r="P36" s="1"/>
      <c r="Q36" s="1">
        <v>6.1</v>
      </c>
      <c r="R36" s="1"/>
      <c r="S36" s="126">
        <f>IFERROR(AVERAGE(H36:R36),0)</f>
        <v>6.1166666666666671</v>
      </c>
      <c r="T36" s="127">
        <f>IFERROR(D36/S36," ")</f>
        <v>9.4741144414168943</v>
      </c>
      <c r="U36" s="133">
        <f>IFERROR(D36/E36," ")</f>
        <v>2.6340909090909093</v>
      </c>
      <c r="W36" s="28"/>
    </row>
    <row r="37" spans="1:23">
      <c r="A37" s="48"/>
      <c r="B37" s="25" t="s">
        <v>171</v>
      </c>
      <c r="C37" s="26" t="s">
        <v>49</v>
      </c>
      <c r="D37" s="64">
        <v>58</v>
      </c>
      <c r="E37" s="26">
        <v>22</v>
      </c>
      <c r="F37" s="86" t="s">
        <v>22</v>
      </c>
      <c r="H37" s="12">
        <v>6</v>
      </c>
      <c r="I37" s="1"/>
      <c r="J37" s="1">
        <v>6</v>
      </c>
      <c r="K37" s="1">
        <v>6.5</v>
      </c>
      <c r="L37" s="1"/>
      <c r="M37" s="1">
        <v>6.4</v>
      </c>
      <c r="N37" s="1">
        <v>6.3</v>
      </c>
      <c r="O37" s="1"/>
      <c r="P37" s="1">
        <v>6.03</v>
      </c>
      <c r="Q37" s="1">
        <v>5</v>
      </c>
      <c r="R37" s="1"/>
      <c r="S37" s="126">
        <f>IFERROR(AVERAGE(H37:R37),0)</f>
        <v>6.032857142857142</v>
      </c>
      <c r="T37" s="127">
        <f>IFERROR(D37/S37," ")</f>
        <v>9.6140184702817919</v>
      </c>
      <c r="U37" s="133">
        <f>IFERROR(D37/E37," ")</f>
        <v>2.6363636363636362</v>
      </c>
      <c r="W37" s="28" t="s">
        <v>91</v>
      </c>
    </row>
    <row r="38" spans="1:23" hidden="1">
      <c r="B38" s="25" t="s">
        <v>139</v>
      </c>
      <c r="C38" s="26" t="s">
        <v>54</v>
      </c>
      <c r="D38" s="64">
        <v>58.99</v>
      </c>
      <c r="E38" s="26">
        <v>22</v>
      </c>
      <c r="F38" s="82" t="s">
        <v>14</v>
      </c>
      <c r="H38" s="12">
        <v>7.5</v>
      </c>
      <c r="I38" s="1"/>
      <c r="J38" s="1">
        <v>7.25</v>
      </c>
      <c r="K38" s="1">
        <v>7.1</v>
      </c>
      <c r="L38" s="1"/>
      <c r="M38" s="1">
        <v>7.4</v>
      </c>
      <c r="N38" s="1"/>
      <c r="O38" s="1"/>
      <c r="P38" s="1"/>
      <c r="Q38" s="1">
        <v>7.5</v>
      </c>
      <c r="R38" s="1"/>
      <c r="S38" s="126">
        <f>IFERROR(AVERAGE(H38:R38),0)</f>
        <v>7.35</v>
      </c>
      <c r="T38" s="127">
        <f>IFERROR(D38/S38," ")</f>
        <v>8.0258503401360546</v>
      </c>
      <c r="U38" s="133">
        <f>IFERROR(D38/E38," ")</f>
        <v>2.6813636363636366</v>
      </c>
      <c r="W38" s="28"/>
    </row>
    <row r="39" spans="1:23" hidden="1">
      <c r="A39" s="48"/>
      <c r="B39" s="25" t="s">
        <v>149</v>
      </c>
      <c r="C39" s="26" t="s">
        <v>150</v>
      </c>
      <c r="D39" s="64">
        <v>58.99</v>
      </c>
      <c r="E39" s="26">
        <v>22</v>
      </c>
      <c r="F39" s="81" t="s">
        <v>43</v>
      </c>
      <c r="H39" s="12">
        <v>7.42</v>
      </c>
      <c r="I39" s="1"/>
      <c r="J39" s="1">
        <v>7</v>
      </c>
      <c r="K39" s="1"/>
      <c r="L39" s="1"/>
      <c r="M39" s="1"/>
      <c r="N39" s="1">
        <v>7.5</v>
      </c>
      <c r="O39" s="1"/>
      <c r="P39" s="1"/>
      <c r="Q39" s="1"/>
      <c r="R39" s="1"/>
      <c r="S39" s="126">
        <f>IFERROR(AVERAGE(H39:R39),0)</f>
        <v>7.3066666666666675</v>
      </c>
      <c r="T39" s="127">
        <f>IFERROR(D39/S39," ")</f>
        <v>8.0734489051094886</v>
      </c>
      <c r="U39" s="133">
        <f>IFERROR(D39/E39," ")</f>
        <v>2.6813636363636366</v>
      </c>
      <c r="W39" s="28" t="s">
        <v>95</v>
      </c>
    </row>
    <row r="40" spans="1:23" hidden="1">
      <c r="A40" s="48"/>
      <c r="B40" s="25" t="s">
        <v>255</v>
      </c>
      <c r="C40" s="26" t="s">
        <v>54</v>
      </c>
      <c r="D40" s="64">
        <v>58.99</v>
      </c>
      <c r="E40" s="26">
        <v>22</v>
      </c>
      <c r="F40" s="81" t="s">
        <v>256</v>
      </c>
      <c r="H40" s="12"/>
      <c r="I40" s="1"/>
      <c r="J40" s="1">
        <v>5.8</v>
      </c>
      <c r="K40" s="1"/>
      <c r="L40" s="1"/>
      <c r="M40" s="1"/>
      <c r="N40" s="1"/>
      <c r="O40" s="1"/>
      <c r="P40" s="1"/>
      <c r="Q40" s="1"/>
      <c r="R40" s="1"/>
      <c r="S40" s="126">
        <f>IFERROR(AVERAGE(H40:R40),0)</f>
        <v>5.8</v>
      </c>
      <c r="T40" s="127">
        <f>IFERROR(D40/S40," ")</f>
        <v>10.170689655172415</v>
      </c>
      <c r="U40" s="133">
        <f>IFERROR(D40/E40," ")</f>
        <v>2.6813636363636366</v>
      </c>
      <c r="V40" s="40"/>
      <c r="W40" s="41" t="s">
        <v>98</v>
      </c>
    </row>
    <row r="41" spans="1:23" hidden="1">
      <c r="A41" s="48"/>
      <c r="B41" s="25" t="s">
        <v>255</v>
      </c>
      <c r="C41" s="26" t="s">
        <v>35</v>
      </c>
      <c r="D41" s="64">
        <v>58.99</v>
      </c>
      <c r="E41" s="26">
        <v>22</v>
      </c>
      <c r="F41" s="81" t="s">
        <v>43</v>
      </c>
      <c r="H41" s="12">
        <v>7.5</v>
      </c>
      <c r="I41" s="1">
        <v>7.2</v>
      </c>
      <c r="J41" s="1"/>
      <c r="K41" s="1">
        <v>7.8</v>
      </c>
      <c r="L41" s="1"/>
      <c r="M41" s="1">
        <v>7.6</v>
      </c>
      <c r="N41" s="1">
        <v>6.9</v>
      </c>
      <c r="O41" s="1">
        <v>8</v>
      </c>
      <c r="P41" s="1"/>
      <c r="Q41" s="1">
        <v>6.5</v>
      </c>
      <c r="R41" s="1">
        <v>4</v>
      </c>
      <c r="S41" s="126">
        <f>IFERROR(AVERAGE(H41:R41),0)</f>
        <v>6.9375</v>
      </c>
      <c r="T41" s="127">
        <f>IFERROR(D41/S41," ")</f>
        <v>8.5030630630630633</v>
      </c>
      <c r="U41" s="133">
        <f>IFERROR(D41/E41," ")</f>
        <v>2.6813636363636366</v>
      </c>
      <c r="V41" s="40"/>
      <c r="W41" s="41" t="s">
        <v>100</v>
      </c>
    </row>
    <row r="42" spans="1:23">
      <c r="A42" s="19"/>
      <c r="B42" s="25" t="s">
        <v>48</v>
      </c>
      <c r="C42" s="26" t="s">
        <v>49</v>
      </c>
      <c r="D42" s="64">
        <v>59</v>
      </c>
      <c r="E42" s="26">
        <v>22.1</v>
      </c>
      <c r="F42" s="81" t="s">
        <v>22</v>
      </c>
      <c r="H42" s="12"/>
      <c r="I42" s="1"/>
      <c r="J42" s="1">
        <v>7</v>
      </c>
      <c r="K42" s="1"/>
      <c r="L42" s="1"/>
      <c r="M42" s="1"/>
      <c r="N42" s="1"/>
      <c r="O42" s="1"/>
      <c r="P42" s="1"/>
      <c r="Q42" s="1">
        <v>7.5</v>
      </c>
      <c r="R42" s="1"/>
      <c r="S42" s="126">
        <f>IFERROR(AVERAGE(H42:R42),0)</f>
        <v>7.25</v>
      </c>
      <c r="T42" s="127">
        <f>IFERROR(D42/S42," ")</f>
        <v>8.137931034482758</v>
      </c>
      <c r="U42" s="133">
        <f>IFERROR(D42/E42," ")</f>
        <v>2.6696832579185519</v>
      </c>
      <c r="V42" s="40"/>
      <c r="W42" s="41" t="s">
        <v>102</v>
      </c>
    </row>
    <row r="43" spans="1:23">
      <c r="B43" s="25" t="s">
        <v>82</v>
      </c>
      <c r="C43" s="26" t="s">
        <v>38</v>
      </c>
      <c r="D43" s="64">
        <v>59.99</v>
      </c>
      <c r="E43" s="26">
        <v>22</v>
      </c>
      <c r="F43" s="81" t="s">
        <v>14</v>
      </c>
      <c r="H43" s="12">
        <v>5</v>
      </c>
      <c r="I43" s="1"/>
      <c r="J43" s="1">
        <v>5</v>
      </c>
      <c r="K43" s="1"/>
      <c r="L43" s="1"/>
      <c r="M43" s="1"/>
      <c r="N43" s="1">
        <v>6.8</v>
      </c>
      <c r="O43" s="1"/>
      <c r="P43" s="1"/>
      <c r="Q43" s="1">
        <v>7</v>
      </c>
      <c r="R43" s="1"/>
      <c r="S43" s="126">
        <f>IFERROR(AVERAGE(H43:R43),0)</f>
        <v>5.95</v>
      </c>
      <c r="T43" s="127">
        <f>IFERROR(D43/S43," ")</f>
        <v>10.08235294117647</v>
      </c>
      <c r="U43" s="133">
        <f>IFERROR(D43/E43," ")</f>
        <v>2.726818181818182</v>
      </c>
      <c r="V43" s="40"/>
      <c r="W43" s="41" t="s">
        <v>104</v>
      </c>
    </row>
    <row r="44" spans="1:23" hidden="1">
      <c r="A44" s="48"/>
      <c r="B44" s="25" t="s">
        <v>188</v>
      </c>
      <c r="C44" s="26" t="s">
        <v>35</v>
      </c>
      <c r="D44" s="63">
        <v>59.99</v>
      </c>
      <c r="E44" s="26">
        <v>20.7</v>
      </c>
      <c r="F44" s="81" t="s">
        <v>14</v>
      </c>
      <c r="H44" s="12">
        <v>6.5</v>
      </c>
      <c r="I44" s="1"/>
      <c r="J44" s="1">
        <v>5.8</v>
      </c>
      <c r="K44" s="1"/>
      <c r="L44" s="1"/>
      <c r="M44" s="1"/>
      <c r="N44" s="1">
        <v>7.6</v>
      </c>
      <c r="O44" s="1">
        <v>8</v>
      </c>
      <c r="P44" s="1"/>
      <c r="Q44" s="1">
        <v>6.5</v>
      </c>
      <c r="R44" s="1"/>
      <c r="S44" s="126">
        <f>IFERROR(AVERAGE(H44:R44),0)</f>
        <v>6.88</v>
      </c>
      <c r="T44" s="127">
        <f>IFERROR(D44/S44," ")</f>
        <v>8.7194767441860463</v>
      </c>
      <c r="U44" s="133">
        <f>IFERROR(D44/E44," ")</f>
        <v>2.8980676328502417</v>
      </c>
      <c r="V44" s="40"/>
      <c r="W44" s="41" t="s">
        <v>107</v>
      </c>
    </row>
    <row r="45" spans="1:23">
      <c r="A45" s="48"/>
      <c r="B45" s="25" t="s">
        <v>190</v>
      </c>
      <c r="C45" s="33" t="s">
        <v>49</v>
      </c>
      <c r="D45" s="63">
        <v>59.99</v>
      </c>
      <c r="E45" s="1">
        <v>22</v>
      </c>
      <c r="F45" s="81" t="s">
        <v>22</v>
      </c>
      <c r="H45" s="12"/>
      <c r="I45" s="1"/>
      <c r="J45" s="1">
        <v>6</v>
      </c>
      <c r="K45" s="1"/>
      <c r="L45" s="1"/>
      <c r="M45" s="1"/>
      <c r="N45" s="1"/>
      <c r="O45" s="1"/>
      <c r="P45" s="1"/>
      <c r="Q45" s="1"/>
      <c r="R45" s="1"/>
      <c r="S45" s="126">
        <f>IFERROR(AVERAGE(H45:R45),0)</f>
        <v>6</v>
      </c>
      <c r="T45" s="127">
        <f>IFERROR(D45/S45," ")</f>
        <v>9.9983333333333331</v>
      </c>
      <c r="U45" s="133">
        <f>IFERROR(D45/E45," ")</f>
        <v>2.726818181818182</v>
      </c>
      <c r="V45" s="40"/>
      <c r="W45" s="41" t="s">
        <v>110</v>
      </c>
    </row>
    <row r="46" spans="1:23" hidden="1">
      <c r="B46" s="25" t="s">
        <v>124</v>
      </c>
      <c r="C46" s="26" t="s">
        <v>125</v>
      </c>
      <c r="D46" s="64">
        <v>60.99</v>
      </c>
      <c r="E46" s="26">
        <v>23</v>
      </c>
      <c r="F46" s="86" t="s">
        <v>22</v>
      </c>
      <c r="H46" s="12">
        <v>6.5</v>
      </c>
      <c r="I46" s="1"/>
      <c r="J46" s="1">
        <v>6.75</v>
      </c>
      <c r="K46" s="1"/>
      <c r="L46" s="1"/>
      <c r="M46" s="1"/>
      <c r="N46" s="1">
        <v>3</v>
      </c>
      <c r="O46" s="1"/>
      <c r="P46" s="1"/>
      <c r="Q46" s="1">
        <v>7</v>
      </c>
      <c r="R46" s="1"/>
      <c r="S46" s="126">
        <f>IFERROR(AVERAGE(H46:R46),0)</f>
        <v>5.8125</v>
      </c>
      <c r="T46" s="127">
        <f>IFERROR(D46/S46," ")</f>
        <v>10.492903225806453</v>
      </c>
      <c r="U46" s="133">
        <f>IFERROR(D46/E46," ")</f>
        <v>2.6517391304347826</v>
      </c>
      <c r="V46" s="46"/>
      <c r="W46" s="47" t="s">
        <v>114</v>
      </c>
    </row>
    <row r="47" spans="1:23">
      <c r="A47" s="48"/>
      <c r="B47" s="25" t="s">
        <v>231</v>
      </c>
      <c r="C47" s="26" t="s">
        <v>232</v>
      </c>
      <c r="D47" s="64">
        <v>61.95</v>
      </c>
      <c r="E47" s="26">
        <v>22</v>
      </c>
      <c r="F47" s="81" t="s">
        <v>163</v>
      </c>
      <c r="H47" s="12">
        <v>7</v>
      </c>
      <c r="I47" s="1">
        <v>7.9</v>
      </c>
      <c r="J47" s="1">
        <v>8.1999999999999993</v>
      </c>
      <c r="K47" s="1">
        <v>7.5</v>
      </c>
      <c r="L47" s="1">
        <v>8</v>
      </c>
      <c r="M47" s="1">
        <v>7.3</v>
      </c>
      <c r="N47" s="1"/>
      <c r="O47" s="1"/>
      <c r="P47" s="1"/>
      <c r="Q47" s="1">
        <v>8</v>
      </c>
      <c r="R47" s="1"/>
      <c r="S47" s="126">
        <f>IFERROR(AVERAGE(H47:R47),0)</f>
        <v>7.7</v>
      </c>
      <c r="T47" s="127">
        <f>IFERROR(D47/S47," ")</f>
        <v>8.045454545454545</v>
      </c>
      <c r="U47" s="133">
        <f>IFERROR(D47/E47," ")</f>
        <v>2.8159090909090909</v>
      </c>
      <c r="V47" s="46"/>
      <c r="W47" s="47"/>
    </row>
    <row r="48" spans="1:23">
      <c r="A48" s="48"/>
      <c r="B48" s="25" t="s">
        <v>210</v>
      </c>
      <c r="C48" s="33" t="s">
        <v>211</v>
      </c>
      <c r="D48" s="63">
        <v>61.99</v>
      </c>
      <c r="E48" s="1">
        <v>22</v>
      </c>
      <c r="F48" s="81" t="s">
        <v>14</v>
      </c>
      <c r="H48" s="12">
        <v>7</v>
      </c>
      <c r="I48" s="1"/>
      <c r="J48" s="1">
        <v>7.9</v>
      </c>
      <c r="K48" s="1">
        <v>7.1</v>
      </c>
      <c r="L48" s="1"/>
      <c r="M48" s="1">
        <v>7.7</v>
      </c>
      <c r="N48" s="1">
        <v>8.3000000000000007</v>
      </c>
      <c r="O48" s="1">
        <v>9</v>
      </c>
      <c r="P48" s="1">
        <v>6</v>
      </c>
      <c r="Q48" s="1">
        <v>8</v>
      </c>
      <c r="R48" s="1"/>
      <c r="S48" s="126">
        <f>IFERROR(AVERAGE(H48:R48),0)</f>
        <v>7.625</v>
      </c>
      <c r="T48" s="127">
        <f>IFERROR(D48/S48," ")</f>
        <v>8.1298360655737714</v>
      </c>
      <c r="U48" s="133">
        <f>IFERROR(D48/E48," ")</f>
        <v>2.8177272727272729</v>
      </c>
      <c r="W48" s="28" t="s">
        <v>118</v>
      </c>
    </row>
    <row r="49" spans="1:23" hidden="1">
      <c r="A49" s="48"/>
      <c r="B49" s="25" t="s">
        <v>220</v>
      </c>
      <c r="C49" s="33" t="s">
        <v>221</v>
      </c>
      <c r="D49" s="63">
        <v>61.99</v>
      </c>
      <c r="E49" s="1">
        <v>20.7</v>
      </c>
      <c r="F49" s="81" t="s">
        <v>14</v>
      </c>
      <c r="H49" s="12">
        <v>6.5</v>
      </c>
      <c r="I49" s="1"/>
      <c r="J49" s="1">
        <v>6.9</v>
      </c>
      <c r="K49" s="1"/>
      <c r="L49" s="1"/>
      <c r="M49" s="1">
        <v>6.9</v>
      </c>
      <c r="N49" s="1">
        <v>8.6</v>
      </c>
      <c r="O49" s="1"/>
      <c r="P49" s="1"/>
      <c r="Q49" s="1">
        <v>7</v>
      </c>
      <c r="R49" s="1"/>
      <c r="S49" s="126">
        <f>IFERROR(AVERAGE(H49:R49),0)</f>
        <v>7.18</v>
      </c>
      <c r="T49" s="127">
        <f>IFERROR(D49/S49," ")</f>
        <v>8.6337047353760443</v>
      </c>
      <c r="U49" s="133">
        <f>IFERROR(D49/E49," ")</f>
        <v>2.9946859903381644</v>
      </c>
      <c r="W49" s="28"/>
    </row>
    <row r="50" spans="1:23">
      <c r="A50" s="19"/>
      <c r="B50" s="25" t="s">
        <v>42</v>
      </c>
      <c r="C50" s="33" t="s">
        <v>38</v>
      </c>
      <c r="D50" s="63">
        <v>62</v>
      </c>
      <c r="E50" s="1">
        <v>22</v>
      </c>
      <c r="F50" s="82" t="s">
        <v>43</v>
      </c>
      <c r="H50" s="12">
        <v>7.5</v>
      </c>
      <c r="I50" s="1"/>
      <c r="J50" s="1">
        <v>6.5</v>
      </c>
      <c r="K50" s="1">
        <v>6</v>
      </c>
      <c r="L50" s="1"/>
      <c r="M50" s="1"/>
      <c r="N50" s="1">
        <v>8</v>
      </c>
      <c r="O50" s="1"/>
      <c r="P50" s="1"/>
      <c r="Q50" s="1">
        <v>7.5</v>
      </c>
      <c r="R50" s="1"/>
      <c r="S50" s="126">
        <f>IFERROR(AVERAGE(H50:R50),0)</f>
        <v>7.1</v>
      </c>
      <c r="T50" s="127">
        <f>IFERROR(D50/S50," ")</f>
        <v>8.7323943661971839</v>
      </c>
      <c r="U50" s="133">
        <f>IFERROR(D50/E50," ")</f>
        <v>2.8181818181818183</v>
      </c>
      <c r="W50" s="28"/>
    </row>
    <row r="51" spans="1:23">
      <c r="B51" s="25" t="s">
        <v>56</v>
      </c>
      <c r="C51" s="33" t="s">
        <v>38</v>
      </c>
      <c r="D51" s="63">
        <v>62</v>
      </c>
      <c r="E51" s="1">
        <v>22</v>
      </c>
      <c r="F51" s="81" t="s">
        <v>36</v>
      </c>
      <c r="H51" s="12">
        <v>6.5</v>
      </c>
      <c r="I51" s="1"/>
      <c r="J51" s="1">
        <v>6.5</v>
      </c>
      <c r="K51" s="1">
        <v>7</v>
      </c>
      <c r="L51" s="1"/>
      <c r="M51" s="1"/>
      <c r="N51" s="1">
        <v>6.75</v>
      </c>
      <c r="O51" s="1"/>
      <c r="P51" s="1"/>
      <c r="Q51" s="1">
        <v>6.5</v>
      </c>
      <c r="R51" s="1"/>
      <c r="S51" s="126">
        <f>IFERROR(AVERAGE(H51:R51),0)</f>
        <v>6.65</v>
      </c>
      <c r="T51" s="127">
        <f>IFERROR(D51/S51," ")</f>
        <v>9.3233082706766908</v>
      </c>
      <c r="U51" s="133">
        <f>IFERROR(D51/E51," ")</f>
        <v>2.8181818181818183</v>
      </c>
      <c r="W51" s="28"/>
    </row>
    <row r="52" spans="1:23">
      <c r="A52" s="48"/>
      <c r="B52" s="25" t="s">
        <v>175</v>
      </c>
      <c r="C52" s="33" t="s">
        <v>80</v>
      </c>
      <c r="D52" s="63">
        <v>62</v>
      </c>
      <c r="E52" s="1">
        <v>22</v>
      </c>
      <c r="F52" s="81" t="s">
        <v>163</v>
      </c>
      <c r="H52" s="12">
        <v>7</v>
      </c>
      <c r="I52" s="1">
        <v>6.9</v>
      </c>
      <c r="J52" s="1">
        <v>6.95</v>
      </c>
      <c r="K52" s="1">
        <v>7</v>
      </c>
      <c r="L52" s="1">
        <v>7.7</v>
      </c>
      <c r="M52" s="1">
        <v>7.3</v>
      </c>
      <c r="N52" s="1">
        <v>7.9</v>
      </c>
      <c r="O52" s="1"/>
      <c r="P52" s="1"/>
      <c r="Q52" s="1">
        <v>6.5</v>
      </c>
      <c r="R52" s="1"/>
      <c r="S52" s="126">
        <f>IFERROR(AVERAGE(H52:R52),0)</f>
        <v>7.15625</v>
      </c>
      <c r="T52" s="127">
        <f>IFERROR(D52/S52," ")</f>
        <v>8.6637554585152845</v>
      </c>
      <c r="U52" s="133">
        <f>IFERROR(D52/E52," ")</f>
        <v>2.8181818181818183</v>
      </c>
      <c r="W52" s="28" t="s">
        <v>126</v>
      </c>
    </row>
    <row r="53" spans="1:23">
      <c r="A53" s="48"/>
      <c r="B53" s="25" t="s">
        <v>199</v>
      </c>
      <c r="C53" s="33" t="s">
        <v>170</v>
      </c>
      <c r="D53" s="63">
        <v>62.99</v>
      </c>
      <c r="E53" s="1">
        <v>22</v>
      </c>
      <c r="F53" s="81" t="s">
        <v>165</v>
      </c>
      <c r="H53" s="12">
        <v>6.7</v>
      </c>
      <c r="I53" s="1">
        <v>6.7</v>
      </c>
      <c r="J53" s="1">
        <v>6.7</v>
      </c>
      <c r="K53" s="1">
        <v>6.2</v>
      </c>
      <c r="L53" s="1"/>
      <c r="M53" s="1">
        <v>7.2</v>
      </c>
      <c r="N53" s="1">
        <v>7.7</v>
      </c>
      <c r="O53" s="1"/>
      <c r="P53" s="1">
        <v>7.2</v>
      </c>
      <c r="Q53" s="1">
        <v>6.8</v>
      </c>
      <c r="R53" s="1"/>
      <c r="S53" s="126">
        <f>IFERROR(AVERAGE(H53:R53),0)</f>
        <v>6.9</v>
      </c>
      <c r="T53" s="127">
        <f>IFERROR(D53/S53," ")</f>
        <v>9.1289855072463766</v>
      </c>
      <c r="U53" s="133">
        <f>IFERROR(D53/E53," ")</f>
        <v>2.8631818181818183</v>
      </c>
      <c r="W53" s="28" t="s">
        <v>129</v>
      </c>
    </row>
    <row r="54" spans="1:23" hidden="1">
      <c r="A54" s="48"/>
      <c r="B54" s="25" t="s">
        <v>218</v>
      </c>
      <c r="C54" s="33" t="s">
        <v>219</v>
      </c>
      <c r="D54" s="63">
        <v>62.99</v>
      </c>
      <c r="E54" s="1">
        <v>11.8</v>
      </c>
      <c r="F54" s="81" t="s">
        <v>165</v>
      </c>
      <c r="H54" s="12">
        <v>6.5</v>
      </c>
      <c r="I54" s="1"/>
      <c r="J54" s="1">
        <v>5.5</v>
      </c>
      <c r="K54" s="1"/>
      <c r="L54" s="1"/>
      <c r="M54" s="1"/>
      <c r="N54" s="1">
        <v>5.6</v>
      </c>
      <c r="O54" s="1"/>
      <c r="P54" s="1"/>
      <c r="Q54" s="1"/>
      <c r="R54" s="1"/>
      <c r="S54" s="126">
        <f>IFERROR(AVERAGE(H54:R54),0)</f>
        <v>5.8666666666666671</v>
      </c>
      <c r="T54" s="127">
        <f>IFERROR(D54/S54," ")</f>
        <v>10.736931818181818</v>
      </c>
      <c r="U54" s="133">
        <f>IFERROR(D54/E54," ")</f>
        <v>5.3381355932203389</v>
      </c>
      <c r="W54" s="28"/>
    </row>
    <row r="55" spans="1:23">
      <c r="A55" s="19"/>
      <c r="B55" s="25" t="s">
        <v>77</v>
      </c>
      <c r="C55" s="33" t="s">
        <v>38</v>
      </c>
      <c r="D55" s="63">
        <v>63.99</v>
      </c>
      <c r="E55" s="1">
        <v>22</v>
      </c>
      <c r="F55" s="81" t="s">
        <v>43</v>
      </c>
      <c r="H55" s="12">
        <v>6</v>
      </c>
      <c r="I55" s="1"/>
      <c r="J55" s="1">
        <v>6</v>
      </c>
      <c r="K55" s="1">
        <v>6.5</v>
      </c>
      <c r="L55" s="1"/>
      <c r="M55" s="1"/>
      <c r="N55" s="1">
        <v>6.5</v>
      </c>
      <c r="O55" s="1"/>
      <c r="P55" s="1"/>
      <c r="Q55" s="1">
        <v>7</v>
      </c>
      <c r="R55" s="1"/>
      <c r="S55" s="126">
        <f>IFERROR(AVERAGE(H55:R55),0)</f>
        <v>6.4</v>
      </c>
      <c r="T55" s="127">
        <f>IFERROR(D55/S55," ")</f>
        <v>9.9984374999999996</v>
      </c>
      <c r="U55" s="133">
        <f>IFERROR(D55/E55," ")</f>
        <v>2.9086363636363637</v>
      </c>
      <c r="W55" s="28"/>
    </row>
    <row r="56" spans="1:23">
      <c r="B56" s="25" t="s">
        <v>83</v>
      </c>
      <c r="C56" s="26" t="s">
        <v>38</v>
      </c>
      <c r="D56" s="68">
        <v>63.99</v>
      </c>
      <c r="E56" s="37">
        <v>22</v>
      </c>
      <c r="F56" s="82" t="s">
        <v>46</v>
      </c>
      <c r="H56" s="12"/>
      <c r="I56" s="1">
        <v>7.8</v>
      </c>
      <c r="J56" s="1"/>
      <c r="K56" s="1">
        <v>7.8</v>
      </c>
      <c r="L56" s="1"/>
      <c r="M56" s="1"/>
      <c r="N56" s="1">
        <v>7.6824000000000003</v>
      </c>
      <c r="O56" s="1"/>
      <c r="P56" s="1"/>
      <c r="Q56" s="1"/>
      <c r="R56" s="1"/>
      <c r="S56" s="126">
        <f>IFERROR(AVERAGE(H56:R56),0)</f>
        <v>7.7607999999999997</v>
      </c>
      <c r="T56" s="127">
        <f>IFERROR(D56/S56," ")</f>
        <v>8.2452839913410987</v>
      </c>
      <c r="U56" s="133">
        <f>IFERROR(D58/E58," ")</f>
        <v>2.5760000000000001</v>
      </c>
      <c r="W56" s="28"/>
    </row>
    <row r="57" spans="1:23" hidden="1">
      <c r="A57" s="48"/>
      <c r="B57" s="25" t="s">
        <v>222</v>
      </c>
      <c r="C57" s="26" t="s">
        <v>223</v>
      </c>
      <c r="D57" s="64">
        <v>63.99</v>
      </c>
      <c r="E57" s="26">
        <v>21</v>
      </c>
      <c r="F57" s="81" t="s">
        <v>43</v>
      </c>
      <c r="H57" s="12"/>
      <c r="I57" s="1">
        <v>6</v>
      </c>
      <c r="J57" s="1">
        <v>7.5</v>
      </c>
      <c r="K57" s="1"/>
      <c r="L57" s="1"/>
      <c r="M57" s="1">
        <v>7.4</v>
      </c>
      <c r="N57" s="1">
        <v>7.9</v>
      </c>
      <c r="O57" s="1">
        <v>8</v>
      </c>
      <c r="P57" s="1"/>
      <c r="Q57" s="1">
        <v>6</v>
      </c>
      <c r="R57" s="1"/>
      <c r="S57" s="126">
        <f>IFERROR(AVERAGE(H57:R57),0)</f>
        <v>7.1333333333333329</v>
      </c>
      <c r="T57" s="127">
        <f>IFERROR(D57/S57," ")</f>
        <v>8.9705607476635532</v>
      </c>
      <c r="U57" s="133">
        <f>IFERROR(D57/E57," ")</f>
        <v>3.0471428571428572</v>
      </c>
      <c r="W57" s="28"/>
    </row>
    <row r="58" spans="1:23">
      <c r="A58" s="48"/>
      <c r="B58" s="25" t="s">
        <v>312</v>
      </c>
      <c r="C58" s="64" t="s">
        <v>49</v>
      </c>
      <c r="D58" s="64">
        <v>64.400000000000006</v>
      </c>
      <c r="E58" s="26">
        <v>25</v>
      </c>
      <c r="F58" s="81" t="s">
        <v>36</v>
      </c>
      <c r="H58" s="12">
        <v>7.5</v>
      </c>
      <c r="I58" s="1"/>
      <c r="J58" s="1">
        <v>7.5</v>
      </c>
      <c r="K58" s="1"/>
      <c r="L58" s="1">
        <v>7.1</v>
      </c>
      <c r="M58" s="1"/>
      <c r="N58" s="1">
        <v>7.2</v>
      </c>
      <c r="O58" s="1"/>
      <c r="P58" s="1"/>
      <c r="Q58" s="1"/>
      <c r="R58" s="1">
        <v>6.5</v>
      </c>
      <c r="S58" s="126">
        <f>IFERROR(AVERAGE(H58:R58),0)</f>
        <v>7.1599999999999993</v>
      </c>
      <c r="T58" s="127">
        <f>IFERROR(D58/S58," ")</f>
        <v>8.9944134078212308</v>
      </c>
      <c r="U58" s="133">
        <f>IFERROR(D58/E58," ")</f>
        <v>2.5760000000000001</v>
      </c>
      <c r="W58" s="28"/>
    </row>
    <row r="59" spans="1:23">
      <c r="A59" s="48"/>
      <c r="B59" s="25" t="s">
        <v>300</v>
      </c>
      <c r="C59" s="64" t="s">
        <v>301</v>
      </c>
      <c r="D59" s="64">
        <v>64.95</v>
      </c>
      <c r="E59" s="26">
        <v>25</v>
      </c>
      <c r="F59" s="81" t="s">
        <v>36</v>
      </c>
      <c r="H59" s="12">
        <v>7.5</v>
      </c>
      <c r="I59" s="1"/>
      <c r="J59" s="1">
        <v>7</v>
      </c>
      <c r="K59" s="1">
        <v>7.4</v>
      </c>
      <c r="L59" s="1"/>
      <c r="M59" s="1"/>
      <c r="N59" s="1">
        <v>8.9</v>
      </c>
      <c r="O59" s="1"/>
      <c r="P59" s="1"/>
      <c r="Q59" s="1">
        <v>8</v>
      </c>
      <c r="R59" s="1">
        <v>6</v>
      </c>
      <c r="S59" s="126">
        <f>IFERROR(AVERAGE(H59:R59),0)</f>
        <v>7.4666666666666659</v>
      </c>
      <c r="T59" s="127">
        <f>IFERROR(D59/S59," ")</f>
        <v>8.6986607142857153</v>
      </c>
      <c r="U59" s="133">
        <f>IFERROR(D59/E59," ")</f>
        <v>2.5980000000000003</v>
      </c>
      <c r="W59" s="28"/>
    </row>
    <row r="60" spans="1:23" hidden="1">
      <c r="A60" s="48"/>
      <c r="B60" s="25" t="s">
        <v>172</v>
      </c>
      <c r="C60" s="26" t="s">
        <v>173</v>
      </c>
      <c r="D60" s="64">
        <v>64.989999999999995</v>
      </c>
      <c r="E60" s="26">
        <v>17</v>
      </c>
      <c r="F60" s="81" t="s">
        <v>36</v>
      </c>
      <c r="H60" s="12">
        <v>8.1</v>
      </c>
      <c r="I60" s="1"/>
      <c r="J60" s="1">
        <v>5</v>
      </c>
      <c r="K60" s="1">
        <v>8.1999999999999993</v>
      </c>
      <c r="L60" s="1">
        <v>7.9</v>
      </c>
      <c r="M60" s="1">
        <v>7.6</v>
      </c>
      <c r="N60" s="1">
        <v>8.1999999999999993</v>
      </c>
      <c r="O60" s="1"/>
      <c r="P60" s="1">
        <v>8</v>
      </c>
      <c r="Q60" s="1">
        <v>6.5</v>
      </c>
      <c r="R60" s="1"/>
      <c r="S60" s="126">
        <f>IFERROR(AVERAGE(H60:R60),0)</f>
        <v>7.4375</v>
      </c>
      <c r="T60" s="127">
        <f>IFERROR(D60/S60," ")</f>
        <v>8.7381512605042015</v>
      </c>
      <c r="U60" s="133">
        <f>IFERROR(D60/E60," ")</f>
        <v>3.8229411764705881</v>
      </c>
      <c r="W60" s="28"/>
    </row>
    <row r="61" spans="1:23">
      <c r="A61" s="48"/>
      <c r="B61" s="25" t="s">
        <v>230</v>
      </c>
      <c r="C61" s="26" t="s">
        <v>38</v>
      </c>
      <c r="D61" s="64">
        <v>64.989999999999995</v>
      </c>
      <c r="E61" s="26">
        <v>22</v>
      </c>
      <c r="F61" s="82" t="s">
        <v>14</v>
      </c>
      <c r="H61" s="12"/>
      <c r="I61" s="1"/>
      <c r="J61" s="1">
        <v>7.2</v>
      </c>
      <c r="K61" s="1"/>
      <c r="L61" s="1"/>
      <c r="M61" s="1"/>
      <c r="N61" s="1">
        <v>8</v>
      </c>
      <c r="O61" s="1"/>
      <c r="P61" s="1"/>
      <c r="Q61" s="1"/>
      <c r="R61" s="1"/>
      <c r="S61" s="126">
        <f>IFERROR(AVERAGE(H61:R61),0)</f>
        <v>7.6</v>
      </c>
      <c r="T61" s="127">
        <f>IFERROR(D61/S61," ")</f>
        <v>8.5513157894736835</v>
      </c>
      <c r="U61" s="133">
        <f>IFERROR(D61/E61," ")</f>
        <v>2.9540909090909087</v>
      </c>
      <c r="W61" s="28"/>
    </row>
    <row r="62" spans="1:23">
      <c r="A62" s="19"/>
      <c r="B62" s="25" t="s">
        <v>37</v>
      </c>
      <c r="C62" s="26" t="s">
        <v>38</v>
      </c>
      <c r="D62" s="64">
        <v>65</v>
      </c>
      <c r="E62" s="26">
        <v>22</v>
      </c>
      <c r="F62" s="81" t="s">
        <v>14</v>
      </c>
      <c r="H62" s="12">
        <v>8</v>
      </c>
      <c r="I62" s="1"/>
      <c r="J62" s="1"/>
      <c r="K62" s="1">
        <v>8</v>
      </c>
      <c r="L62" s="1"/>
      <c r="M62" s="1"/>
      <c r="N62" s="1">
        <v>8</v>
      </c>
      <c r="O62" s="1"/>
      <c r="P62" s="1"/>
      <c r="Q62" s="1">
        <v>8</v>
      </c>
      <c r="R62" s="1"/>
      <c r="S62" s="126">
        <f>IFERROR(AVERAGE(H62:R62),0)</f>
        <v>8</v>
      </c>
      <c r="T62" s="127">
        <f>IFERROR(D62/S62," ")</f>
        <v>8.125</v>
      </c>
      <c r="U62" s="133">
        <f>IFERROR(D62/E62," ")</f>
        <v>2.9545454545454546</v>
      </c>
      <c r="W62" s="28"/>
    </row>
    <row r="63" spans="1:23">
      <c r="A63" s="19"/>
      <c r="B63" s="25" t="s">
        <v>52</v>
      </c>
      <c r="C63" s="26" t="s">
        <v>38</v>
      </c>
      <c r="D63" s="64">
        <v>65</v>
      </c>
      <c r="E63" s="26">
        <v>22</v>
      </c>
      <c r="F63" s="81" t="s">
        <v>14</v>
      </c>
      <c r="H63" s="12"/>
      <c r="I63" s="1"/>
      <c r="J63" s="1">
        <v>6</v>
      </c>
      <c r="K63" s="1"/>
      <c r="L63" s="1"/>
      <c r="M63" s="1"/>
      <c r="N63" s="1">
        <v>7</v>
      </c>
      <c r="O63" s="1"/>
      <c r="P63" s="1"/>
      <c r="Q63" s="1">
        <v>8</v>
      </c>
      <c r="R63" s="1"/>
      <c r="S63" s="126">
        <f>IFERROR(AVERAGE(H63:R63),0)</f>
        <v>7</v>
      </c>
      <c r="T63" s="127">
        <f>IFERROR(D63/S63," ")</f>
        <v>9.2857142857142865</v>
      </c>
      <c r="U63" s="133">
        <f>IFERROR(D63/E63," ")</f>
        <v>2.9545454545454546</v>
      </c>
      <c r="W63" s="28"/>
    </row>
    <row r="64" spans="1:23" hidden="1">
      <c r="B64" s="25" t="s">
        <v>60</v>
      </c>
      <c r="C64" s="26" t="s">
        <v>61</v>
      </c>
      <c r="D64" s="64">
        <v>65</v>
      </c>
      <c r="E64" s="26">
        <v>16</v>
      </c>
      <c r="F64" s="81" t="s">
        <v>36</v>
      </c>
      <c r="H64" s="12">
        <v>6.5</v>
      </c>
      <c r="I64" s="1"/>
      <c r="J64" s="1">
        <v>6.5</v>
      </c>
      <c r="K64" s="1"/>
      <c r="L64" s="1"/>
      <c r="M64" s="1"/>
      <c r="N64" s="1">
        <v>7</v>
      </c>
      <c r="O64" s="1"/>
      <c r="P64" s="1"/>
      <c r="Q64" s="1"/>
      <c r="R64" s="1"/>
      <c r="S64" s="126">
        <f>IFERROR(AVERAGE(H64:R64),0)</f>
        <v>6.666666666666667</v>
      </c>
      <c r="T64" s="127">
        <f>IFERROR(D64/S64," ")</f>
        <v>9.75</v>
      </c>
      <c r="U64" s="133">
        <f>IFERROR(D64/E64," ")</f>
        <v>4.0625</v>
      </c>
      <c r="W64" s="28"/>
    </row>
    <row r="65" spans="1:23" hidden="1">
      <c r="B65" s="39" t="s">
        <v>96</v>
      </c>
      <c r="C65" s="38" t="s">
        <v>97</v>
      </c>
      <c r="D65" s="65">
        <v>65</v>
      </c>
      <c r="E65" s="38">
        <v>19</v>
      </c>
      <c r="F65" s="85" t="s">
        <v>36</v>
      </c>
      <c r="G65" s="124"/>
      <c r="H65" s="134">
        <v>6</v>
      </c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126">
        <f>IFERROR(AVERAGE(H65:R65),0)</f>
        <v>6</v>
      </c>
      <c r="T65" s="127">
        <f>IFERROR(D65/S65," ")</f>
        <v>10.833333333333334</v>
      </c>
      <c r="U65" s="133">
        <f>IFERROR(D65/E65," ")</f>
        <v>3.4210526315789473</v>
      </c>
      <c r="W65" s="28" t="s">
        <v>145</v>
      </c>
    </row>
    <row r="66" spans="1:23" hidden="1">
      <c r="B66" s="25" t="s">
        <v>138</v>
      </c>
      <c r="C66" s="26" t="s">
        <v>54</v>
      </c>
      <c r="D66" s="64">
        <v>65</v>
      </c>
      <c r="E66" s="26">
        <v>22</v>
      </c>
      <c r="F66" s="81" t="s">
        <v>26</v>
      </c>
      <c r="H66" s="12">
        <v>6.9</v>
      </c>
      <c r="I66" s="1"/>
      <c r="J66" s="1">
        <v>7.5</v>
      </c>
      <c r="K66" s="1">
        <v>7.6</v>
      </c>
      <c r="L66" s="1"/>
      <c r="M66" s="1">
        <v>7.5</v>
      </c>
      <c r="N66" s="1">
        <v>6.4</v>
      </c>
      <c r="O66" s="1"/>
      <c r="P66" s="1"/>
      <c r="Q66" s="1">
        <v>7.5</v>
      </c>
      <c r="R66" s="1"/>
      <c r="S66" s="126">
        <f>IFERROR(AVERAGE(H66:R66),0)</f>
        <v>7.2333333333333334</v>
      </c>
      <c r="T66" s="127">
        <f>IFERROR(D66/S66," ")</f>
        <v>8.9861751152073737</v>
      </c>
      <c r="U66" s="133">
        <f>IFERROR(D66/E66," ")</f>
        <v>2.9545454545454546</v>
      </c>
      <c r="W66" s="28" t="s">
        <v>147</v>
      </c>
    </row>
    <row r="67" spans="1:23" hidden="1">
      <c r="A67" s="48"/>
      <c r="B67" s="25" t="s">
        <v>213</v>
      </c>
      <c r="C67" s="26" t="s">
        <v>94</v>
      </c>
      <c r="D67" s="64">
        <v>65</v>
      </c>
      <c r="E67" s="26">
        <v>16.600000000000001</v>
      </c>
      <c r="F67" s="82" t="s">
        <v>22</v>
      </c>
      <c r="H67" s="12"/>
      <c r="I67" s="1"/>
      <c r="J67" s="1">
        <v>8</v>
      </c>
      <c r="K67" s="1">
        <v>7.9</v>
      </c>
      <c r="L67" s="1"/>
      <c r="M67" s="1">
        <v>7.3</v>
      </c>
      <c r="N67" s="1"/>
      <c r="O67" s="1"/>
      <c r="P67" s="1"/>
      <c r="Q67" s="1">
        <v>8</v>
      </c>
      <c r="R67" s="1"/>
      <c r="S67" s="126">
        <f>IFERROR(AVERAGE(H67:R67),0)</f>
        <v>7.8</v>
      </c>
      <c r="T67" s="127">
        <f>IFERROR(D67/S67," ")</f>
        <v>8.3333333333333339</v>
      </c>
      <c r="U67" s="133">
        <f>IFERROR(D67/E67," ")</f>
        <v>3.9156626506024095</v>
      </c>
      <c r="W67" s="28"/>
    </row>
    <row r="68" spans="1:23">
      <c r="A68" s="48"/>
      <c r="B68" s="25" t="s">
        <v>286</v>
      </c>
      <c r="C68" s="26" t="s">
        <v>80</v>
      </c>
      <c r="D68" s="64">
        <v>65</v>
      </c>
      <c r="E68" s="26">
        <v>22</v>
      </c>
      <c r="F68" s="81" t="s">
        <v>43</v>
      </c>
      <c r="H68" s="12">
        <v>7.5</v>
      </c>
      <c r="I68" s="1"/>
      <c r="J68" s="1"/>
      <c r="K68" s="1">
        <v>7.69</v>
      </c>
      <c r="L68" s="1"/>
      <c r="M68" s="1"/>
      <c r="N68" s="1">
        <v>7</v>
      </c>
      <c r="O68" s="1"/>
      <c r="P68" s="1">
        <v>8</v>
      </c>
      <c r="Q68" s="1">
        <v>7.8</v>
      </c>
      <c r="R68" s="1">
        <v>7</v>
      </c>
      <c r="S68" s="126">
        <f>IFERROR(AVERAGE(H68:R68),0)</f>
        <v>7.498333333333334</v>
      </c>
      <c r="T68" s="127">
        <f>IFERROR(D68/S68," ")</f>
        <v>8.6685930206712598</v>
      </c>
      <c r="U68" s="133">
        <f>IFERROR(D68/E68," ")</f>
        <v>2.9545454545454546</v>
      </c>
      <c r="W68" s="28" t="s">
        <v>151</v>
      </c>
    </row>
    <row r="69" spans="1:23" hidden="1">
      <c r="B69" s="25" t="s">
        <v>121</v>
      </c>
      <c r="C69" s="26" t="s">
        <v>122</v>
      </c>
      <c r="D69" s="64">
        <v>65.989999999999995</v>
      </c>
      <c r="E69" s="26">
        <v>22</v>
      </c>
      <c r="F69" s="81" t="s">
        <v>14</v>
      </c>
      <c r="H69" s="12">
        <v>8</v>
      </c>
      <c r="I69" s="1"/>
      <c r="J69" s="1"/>
      <c r="K69" s="1">
        <v>7.4</v>
      </c>
      <c r="L69" s="1"/>
      <c r="M69" s="1"/>
      <c r="N69" s="1">
        <v>8.3000000000000007</v>
      </c>
      <c r="O69" s="1"/>
      <c r="P69" s="1"/>
      <c r="Q69" s="1">
        <v>8.5</v>
      </c>
      <c r="R69" s="1"/>
      <c r="S69" s="126">
        <f>IFERROR(AVERAGE(H69:R69),0)</f>
        <v>8.0500000000000007</v>
      </c>
      <c r="T69" s="127">
        <f>IFERROR(D69/S69," ")</f>
        <v>8.1975155279503085</v>
      </c>
      <c r="U69" s="133">
        <f>IFERROR(D69/E69," ")</f>
        <v>2.9995454545454545</v>
      </c>
      <c r="W69" s="28"/>
    </row>
    <row r="70" spans="1:23" hidden="1">
      <c r="A70" s="48"/>
      <c r="B70" s="25" t="s">
        <v>212</v>
      </c>
      <c r="C70" s="26" t="s">
        <v>94</v>
      </c>
      <c r="D70" s="64">
        <v>66.95</v>
      </c>
      <c r="E70" s="26">
        <v>24</v>
      </c>
      <c r="F70" s="81" t="s">
        <v>43</v>
      </c>
      <c r="H70" s="12">
        <v>7.5</v>
      </c>
      <c r="I70" s="1"/>
      <c r="J70" s="1">
        <v>7.3</v>
      </c>
      <c r="K70" s="1"/>
      <c r="L70" s="1"/>
      <c r="M70" s="1">
        <v>7.1</v>
      </c>
      <c r="N70" s="1">
        <v>6.5</v>
      </c>
      <c r="O70" s="1"/>
      <c r="P70" s="1"/>
      <c r="Q70" s="1">
        <v>7</v>
      </c>
      <c r="R70" s="1"/>
      <c r="S70" s="126">
        <f>IFERROR(AVERAGE(H70:R70),0)</f>
        <v>7.08</v>
      </c>
      <c r="T70" s="127">
        <f>IFERROR(D70/S70," ")</f>
        <v>9.4562146892655363</v>
      </c>
      <c r="U70" s="133">
        <f>IFERROR(D70/E70," ")</f>
        <v>2.7895833333333333</v>
      </c>
      <c r="W70" s="28"/>
    </row>
    <row r="71" spans="1:23" hidden="1">
      <c r="B71" s="25" t="s">
        <v>65</v>
      </c>
      <c r="C71" s="26" t="s">
        <v>54</v>
      </c>
      <c r="D71" s="64">
        <v>66.989999999999995</v>
      </c>
      <c r="E71" s="26">
        <v>22</v>
      </c>
      <c r="F71" s="81" t="s">
        <v>22</v>
      </c>
      <c r="H71" s="12">
        <v>7.49</v>
      </c>
      <c r="I71" s="1"/>
      <c r="J71" s="1">
        <v>7</v>
      </c>
      <c r="K71" s="1">
        <v>6.9</v>
      </c>
      <c r="L71" s="1"/>
      <c r="M71" s="1"/>
      <c r="N71" s="1">
        <v>8.4499999999999993</v>
      </c>
      <c r="O71" s="1"/>
      <c r="P71" s="1"/>
      <c r="Q71" s="1">
        <v>7</v>
      </c>
      <c r="R71" s="1"/>
      <c r="S71" s="126">
        <f>IFERROR(AVERAGE(H71:R71),0)</f>
        <v>7.3680000000000003</v>
      </c>
      <c r="T71" s="127">
        <f>IFERROR(D71/S71," ")</f>
        <v>9.0920195439739402</v>
      </c>
      <c r="U71" s="133">
        <f>IFERROR(D71/E71," ")</f>
        <v>3.0449999999999999</v>
      </c>
      <c r="W71" s="28"/>
    </row>
    <row r="72" spans="1:23" hidden="1">
      <c r="B72" s="25" t="s">
        <v>67</v>
      </c>
      <c r="C72" s="26" t="s">
        <v>54</v>
      </c>
      <c r="D72" s="61">
        <v>66.989999999999995</v>
      </c>
      <c r="E72" s="1">
        <v>22</v>
      </c>
      <c r="F72" s="87" t="s">
        <v>36</v>
      </c>
      <c r="H72" s="12">
        <v>5.7</v>
      </c>
      <c r="I72" s="1"/>
      <c r="J72" s="1">
        <v>6</v>
      </c>
      <c r="K72" s="1">
        <v>6.6</v>
      </c>
      <c r="L72" s="1"/>
      <c r="M72" s="1"/>
      <c r="N72" s="1">
        <v>6.75</v>
      </c>
      <c r="O72" s="1"/>
      <c r="P72" s="1"/>
      <c r="Q72" s="1"/>
      <c r="R72" s="1"/>
      <c r="S72" s="126">
        <f>IFERROR(AVERAGE(H72:R72),0)</f>
        <v>6.2624999999999993</v>
      </c>
      <c r="T72" s="127">
        <f>IFERROR(D72/S72," ")</f>
        <v>10.697005988023953</v>
      </c>
      <c r="U72" s="133">
        <f>IFERROR(D72/E72," ")</f>
        <v>3.0449999999999999</v>
      </c>
      <c r="W72" s="28"/>
    </row>
    <row r="73" spans="1:23" hidden="1">
      <c r="B73" s="25" t="s">
        <v>117</v>
      </c>
      <c r="C73" s="26" t="s">
        <v>40</v>
      </c>
      <c r="D73" s="61">
        <v>67</v>
      </c>
      <c r="E73" s="1">
        <v>24</v>
      </c>
      <c r="F73" s="88" t="s">
        <v>36</v>
      </c>
      <c r="H73" s="12">
        <v>7</v>
      </c>
      <c r="I73" s="1"/>
      <c r="J73" s="1">
        <v>6</v>
      </c>
      <c r="K73" s="1"/>
      <c r="L73" s="1"/>
      <c r="M73" s="1"/>
      <c r="N73" s="1">
        <v>8</v>
      </c>
      <c r="O73" s="1"/>
      <c r="P73" s="1"/>
      <c r="Q73" s="1"/>
      <c r="R73" s="1"/>
      <c r="S73" s="126">
        <f>IFERROR(AVERAGE(H73:R73),0)</f>
        <v>7</v>
      </c>
      <c r="T73" s="127">
        <f>IFERROR(D73/S73," ")</f>
        <v>9.5714285714285712</v>
      </c>
      <c r="U73" s="133">
        <f>IFERROR(D73/E73," ")</f>
        <v>2.7916666666666665</v>
      </c>
      <c r="W73" s="28"/>
    </row>
    <row r="74" spans="1:23" hidden="1">
      <c r="B74" s="25" t="s">
        <v>127</v>
      </c>
      <c r="C74" s="26" t="s">
        <v>128</v>
      </c>
      <c r="D74" s="61">
        <v>67</v>
      </c>
      <c r="E74" s="1">
        <v>22</v>
      </c>
      <c r="F74" s="81" t="s">
        <v>36</v>
      </c>
      <c r="H74" s="12">
        <v>8.25</v>
      </c>
      <c r="I74" s="1"/>
      <c r="J74" s="1">
        <v>6.5</v>
      </c>
      <c r="K74" s="1"/>
      <c r="L74" s="1"/>
      <c r="M74" s="1"/>
      <c r="N74" s="1">
        <v>8.8000000000000007</v>
      </c>
      <c r="O74" s="1"/>
      <c r="P74" s="1"/>
      <c r="Q74" s="1">
        <v>8.5</v>
      </c>
      <c r="R74" s="1"/>
      <c r="S74" s="126">
        <f>IFERROR(AVERAGE(H74:R74),0)</f>
        <v>8.0124999999999993</v>
      </c>
      <c r="T74" s="127">
        <f>IFERROR(D74/S74," ")</f>
        <v>8.361934477379096</v>
      </c>
      <c r="U74" s="133">
        <f>IFERROR(D74/E74," ")</f>
        <v>3.0454545454545454</v>
      </c>
      <c r="W74" s="28"/>
    </row>
    <row r="75" spans="1:23">
      <c r="A75" s="48"/>
      <c r="B75" s="25" t="s">
        <v>304</v>
      </c>
      <c r="C75" s="64" t="s">
        <v>305</v>
      </c>
      <c r="D75" s="64">
        <v>67</v>
      </c>
      <c r="E75" s="37">
        <v>20</v>
      </c>
      <c r="F75" s="81" t="s">
        <v>14</v>
      </c>
      <c r="H75" s="12">
        <v>7.5</v>
      </c>
      <c r="I75" s="1"/>
      <c r="J75" s="1">
        <v>5.8</v>
      </c>
      <c r="K75" s="1"/>
      <c r="L75" s="1"/>
      <c r="M75" s="1"/>
      <c r="N75" s="1">
        <v>7.8</v>
      </c>
      <c r="O75" s="1"/>
      <c r="P75" s="1"/>
      <c r="Q75" s="1"/>
      <c r="R75" s="1">
        <v>7</v>
      </c>
      <c r="S75" s="126">
        <f>IFERROR(AVERAGE(H75:R75),0)</f>
        <v>7.0250000000000004</v>
      </c>
      <c r="T75" s="127">
        <f>IFERROR(D75/S75," ")</f>
        <v>9.537366548042705</v>
      </c>
      <c r="U75" s="133">
        <f>IFERROR(D75/E75," ")</f>
        <v>3.35</v>
      </c>
      <c r="W75" s="28"/>
    </row>
    <row r="76" spans="1:23">
      <c r="A76" s="48"/>
      <c r="B76" s="25" t="s">
        <v>176</v>
      </c>
      <c r="C76" s="26" t="s">
        <v>177</v>
      </c>
      <c r="D76" s="64">
        <v>67.2</v>
      </c>
      <c r="E76" s="26">
        <v>30.9</v>
      </c>
      <c r="F76" s="81" t="s">
        <v>90</v>
      </c>
      <c r="H76" s="12">
        <v>6</v>
      </c>
      <c r="I76" s="1">
        <v>5.8</v>
      </c>
      <c r="J76" s="1"/>
      <c r="K76" s="1">
        <v>5.9</v>
      </c>
      <c r="L76" s="1"/>
      <c r="M76" s="1">
        <v>6.1</v>
      </c>
      <c r="N76" s="1">
        <v>5.7</v>
      </c>
      <c r="O76" s="1"/>
      <c r="P76" s="1"/>
      <c r="Q76" s="1">
        <v>6.5</v>
      </c>
      <c r="R76" s="1"/>
      <c r="S76" s="126">
        <f>IFERROR(AVERAGE(H76:R76),0)</f>
        <v>6</v>
      </c>
      <c r="T76" s="127">
        <f>IFERROR(D76/S76," ")</f>
        <v>11.200000000000001</v>
      </c>
      <c r="U76" s="133">
        <f>IFERROR(D76/E76," ")</f>
        <v>2.1747572815533984</v>
      </c>
      <c r="W76" s="28" t="s">
        <v>161</v>
      </c>
    </row>
    <row r="77" spans="1:23">
      <c r="A77" s="48"/>
      <c r="B77" s="25" t="s">
        <v>204</v>
      </c>
      <c r="C77" s="26" t="s">
        <v>38</v>
      </c>
      <c r="D77" s="64">
        <v>68</v>
      </c>
      <c r="E77" s="26">
        <v>22</v>
      </c>
      <c r="F77" s="81" t="s">
        <v>22</v>
      </c>
      <c r="H77" s="12"/>
      <c r="I77" s="1">
        <v>7</v>
      </c>
      <c r="J77" s="1">
        <v>6.9</v>
      </c>
      <c r="K77" s="1"/>
      <c r="L77" s="1"/>
      <c r="M77" s="1">
        <v>7.7</v>
      </c>
      <c r="N77" s="1">
        <v>7.2</v>
      </c>
      <c r="O77" s="1">
        <v>8</v>
      </c>
      <c r="P77" s="1"/>
      <c r="Q77" s="1">
        <v>7.5</v>
      </c>
      <c r="R77" s="1"/>
      <c r="S77" s="126">
        <f>IFERROR(AVERAGE(H77:R77),0)</f>
        <v>7.3833333333333329</v>
      </c>
      <c r="T77" s="127">
        <f>IFERROR(D77/S77," ")</f>
        <v>9.2099322799097063</v>
      </c>
      <c r="U77" s="133">
        <f>IFERROR(D77/E77," ")</f>
        <v>3.0909090909090908</v>
      </c>
      <c r="W77" s="28"/>
    </row>
    <row r="78" spans="1:23">
      <c r="A78" s="48"/>
      <c r="B78" s="25" t="s">
        <v>254</v>
      </c>
      <c r="C78" s="26" t="s">
        <v>80</v>
      </c>
      <c r="D78" s="64">
        <v>68.989999999999995</v>
      </c>
      <c r="E78" s="26">
        <v>22</v>
      </c>
      <c r="F78" s="81" t="s">
        <v>165</v>
      </c>
      <c r="H78" s="12">
        <v>6.5</v>
      </c>
      <c r="I78" s="1">
        <v>7.7</v>
      </c>
      <c r="J78" s="1">
        <v>6.5</v>
      </c>
      <c r="K78" s="1">
        <v>7.8</v>
      </c>
      <c r="L78" s="1">
        <v>7</v>
      </c>
      <c r="M78" s="1">
        <v>6.6</v>
      </c>
      <c r="N78" s="1">
        <v>8.1999999999999993</v>
      </c>
      <c r="O78" s="1">
        <v>6</v>
      </c>
      <c r="P78" s="1"/>
      <c r="Q78" s="1">
        <v>7.2</v>
      </c>
      <c r="R78" s="1"/>
      <c r="S78" s="126">
        <f>IFERROR(AVERAGE(H78:R78),0)</f>
        <v>7.0555555555555554</v>
      </c>
      <c r="T78" s="127">
        <f>IFERROR(D78/S78," ")</f>
        <v>9.7781102362204724</v>
      </c>
      <c r="U78" s="133">
        <f>IFERROR(D78/E78," ")</f>
        <v>3.1359090909090908</v>
      </c>
      <c r="W78" s="28"/>
    </row>
    <row r="79" spans="1:23">
      <c r="A79" s="48"/>
      <c r="B79" s="25" t="s">
        <v>181</v>
      </c>
      <c r="C79" s="26" t="s">
        <v>182</v>
      </c>
      <c r="D79" s="64">
        <v>69</v>
      </c>
      <c r="E79" s="26">
        <v>24</v>
      </c>
      <c r="F79" s="81" t="s">
        <v>43</v>
      </c>
      <c r="H79" s="12"/>
      <c r="I79" s="1"/>
      <c r="J79" s="1">
        <v>7</v>
      </c>
      <c r="K79" s="1">
        <v>6.75</v>
      </c>
      <c r="L79" s="1"/>
      <c r="M79" s="1">
        <v>7.3</v>
      </c>
      <c r="N79" s="1">
        <v>6.6</v>
      </c>
      <c r="O79" s="1"/>
      <c r="P79" s="1"/>
      <c r="Q79" s="1"/>
      <c r="R79" s="1"/>
      <c r="S79" s="126">
        <f>IFERROR(AVERAGE(H79:R79),0)</f>
        <v>6.9124999999999996</v>
      </c>
      <c r="T79" s="127">
        <f>IFERROR(D79/S79," ")</f>
        <v>9.9819168173598563</v>
      </c>
      <c r="U79" s="133">
        <f>IFERROR(D79/E79," ")</f>
        <v>2.875</v>
      </c>
      <c r="W79" s="28"/>
    </row>
    <row r="80" spans="1:23" hidden="1">
      <c r="A80" s="48"/>
      <c r="B80" s="25" t="s">
        <v>224</v>
      </c>
      <c r="C80" s="26" t="s">
        <v>61</v>
      </c>
      <c r="D80" s="64">
        <v>69</v>
      </c>
      <c r="E80" s="26">
        <v>16.600000000000001</v>
      </c>
      <c r="F80" s="87" t="s">
        <v>22</v>
      </c>
      <c r="H80" s="12">
        <v>7.5</v>
      </c>
      <c r="I80" s="1"/>
      <c r="J80" s="1">
        <v>7.6</v>
      </c>
      <c r="K80" s="1">
        <v>7.3</v>
      </c>
      <c r="L80" s="1"/>
      <c r="M80" s="1">
        <v>6.2</v>
      </c>
      <c r="N80" s="1"/>
      <c r="O80" s="1">
        <v>7.5</v>
      </c>
      <c r="P80" s="1"/>
      <c r="Q80" s="1">
        <v>7.5</v>
      </c>
      <c r="R80" s="1"/>
      <c r="S80" s="126">
        <f>IFERROR(AVERAGE(H80:R80),0)</f>
        <v>7.2666666666666657</v>
      </c>
      <c r="T80" s="127">
        <f>IFERROR(D80/S80," ")</f>
        <v>9.4954128440366983</v>
      </c>
      <c r="U80" s="133">
        <f>IFERROR(D80/E80," ")</f>
        <v>4.1566265060240957</v>
      </c>
      <c r="W80" s="28"/>
    </row>
    <row r="81" spans="1:23">
      <c r="A81" s="48"/>
      <c r="B81" s="25" t="s">
        <v>37</v>
      </c>
      <c r="C81" s="26" t="s">
        <v>38</v>
      </c>
      <c r="D81" s="64">
        <v>69</v>
      </c>
      <c r="E81" s="26"/>
      <c r="F81" s="88" t="s">
        <v>163</v>
      </c>
      <c r="H81" s="12"/>
      <c r="I81" s="1"/>
      <c r="J81" s="1"/>
      <c r="K81" s="1"/>
      <c r="L81" s="1"/>
      <c r="M81" s="1">
        <v>6.6</v>
      </c>
      <c r="N81" s="1">
        <v>6.6</v>
      </c>
      <c r="O81" s="1"/>
      <c r="P81" s="1"/>
      <c r="Q81" s="1"/>
      <c r="R81" s="1">
        <v>7.3</v>
      </c>
      <c r="S81" s="126">
        <f>IFERROR(AVERAGE(H81:R81),0)</f>
        <v>6.833333333333333</v>
      </c>
      <c r="T81" s="127">
        <f>IFERROR(D81/S81," ")</f>
        <v>10.097560975609756</v>
      </c>
      <c r="U81" s="133" t="str">
        <f>IFERROR(D81/E81," ")</f>
        <v xml:space="preserve"> </v>
      </c>
      <c r="W81" s="28"/>
    </row>
    <row r="82" spans="1:23" ht="76.5">
      <c r="A82" s="19" t="s">
        <v>72</v>
      </c>
      <c r="B82" s="25" t="s">
        <v>73</v>
      </c>
      <c r="C82" s="26" t="s">
        <v>38</v>
      </c>
      <c r="D82" s="64">
        <v>69.900000000000006</v>
      </c>
      <c r="E82" s="26">
        <v>22</v>
      </c>
      <c r="F82" s="81" t="s">
        <v>26</v>
      </c>
      <c r="H82" s="12">
        <v>7.5</v>
      </c>
      <c r="I82" s="1"/>
      <c r="J82" s="1">
        <v>6.75</v>
      </c>
      <c r="K82" s="1">
        <v>7.5</v>
      </c>
      <c r="L82" s="1"/>
      <c r="M82" s="1"/>
      <c r="N82" s="1">
        <v>8</v>
      </c>
      <c r="O82" s="1"/>
      <c r="P82" s="1"/>
      <c r="Q82" s="1">
        <v>8</v>
      </c>
      <c r="R82" s="1"/>
      <c r="S82" s="126">
        <f>IFERROR(AVERAGE(H82:R82),0)</f>
        <v>7.55</v>
      </c>
      <c r="T82" s="127">
        <f>IFERROR(D82/S82," ")</f>
        <v>9.2582781456953658</v>
      </c>
      <c r="U82" s="133">
        <f>IFERROR(D82/E82," ")</f>
        <v>3.1772727272727277</v>
      </c>
      <c r="W82" s="28"/>
    </row>
    <row r="83" spans="1:23">
      <c r="B83" s="25" t="s">
        <v>92</v>
      </c>
      <c r="C83" s="26" t="s">
        <v>38</v>
      </c>
      <c r="D83" s="64">
        <v>69.900000000000006</v>
      </c>
      <c r="E83" s="26">
        <v>22</v>
      </c>
      <c r="F83" s="81" t="s">
        <v>14</v>
      </c>
      <c r="H83" s="12">
        <v>7</v>
      </c>
      <c r="I83" s="1"/>
      <c r="J83" s="1">
        <v>6</v>
      </c>
      <c r="K83" s="1"/>
      <c r="L83" s="1"/>
      <c r="M83" s="1"/>
      <c r="N83" s="1">
        <v>7.62</v>
      </c>
      <c r="O83" s="1"/>
      <c r="P83" s="1"/>
      <c r="Q83" s="1"/>
      <c r="R83" s="1"/>
      <c r="S83" s="126">
        <f>IFERROR(AVERAGE(H83:R83),0)</f>
        <v>6.873333333333334</v>
      </c>
      <c r="T83" s="127">
        <f>IFERROR(D83/S83," ")</f>
        <v>10.169738118331717</v>
      </c>
      <c r="U83" s="133">
        <f>IFERROR(D83/E83," ")</f>
        <v>3.1772727272727277</v>
      </c>
      <c r="W83" s="28" t="s">
        <v>174</v>
      </c>
    </row>
    <row r="84" spans="1:23">
      <c r="A84" s="48"/>
      <c r="B84" s="25" t="s">
        <v>185</v>
      </c>
      <c r="C84" s="26" t="s">
        <v>49</v>
      </c>
      <c r="D84" s="64">
        <v>69.989999999999995</v>
      </c>
      <c r="E84" s="26">
        <v>22.1</v>
      </c>
      <c r="F84" s="81" t="s">
        <v>26</v>
      </c>
      <c r="H84" s="12">
        <v>7.5</v>
      </c>
      <c r="I84" s="1"/>
      <c r="J84" s="1">
        <v>7.1</v>
      </c>
      <c r="K84" s="1"/>
      <c r="L84" s="1"/>
      <c r="M84" s="1">
        <v>7.2</v>
      </c>
      <c r="N84" s="1"/>
      <c r="O84" s="1"/>
      <c r="P84" s="1"/>
      <c r="Q84" s="1"/>
      <c r="R84" s="1"/>
      <c r="S84" s="126">
        <f>IFERROR(AVERAGE(H84:R84),0)</f>
        <v>7.2666666666666666</v>
      </c>
      <c r="T84" s="127">
        <f>IFERROR(D84/S84," ")</f>
        <v>9.6316513761467881</v>
      </c>
      <c r="U84" s="133">
        <f>IFERROR(D84/E84," ")</f>
        <v>3.1669683257918546</v>
      </c>
      <c r="W84" s="28"/>
    </row>
    <row r="85" spans="1:23" hidden="1">
      <c r="A85" s="48"/>
      <c r="B85" s="25" t="s">
        <v>268</v>
      </c>
      <c r="C85" s="26" t="s">
        <v>269</v>
      </c>
      <c r="D85" s="64">
        <v>69.989999999999995</v>
      </c>
      <c r="E85" s="26">
        <v>22</v>
      </c>
      <c r="F85" s="81" t="s">
        <v>14</v>
      </c>
      <c r="H85" s="12">
        <v>7.5</v>
      </c>
      <c r="I85" s="1"/>
      <c r="J85" s="1"/>
      <c r="K85" s="1"/>
      <c r="L85" s="1"/>
      <c r="M85" s="1">
        <v>6</v>
      </c>
      <c r="N85" s="1">
        <v>6.3</v>
      </c>
      <c r="O85" s="1"/>
      <c r="P85" s="1"/>
      <c r="Q85" s="1">
        <v>7.5</v>
      </c>
      <c r="R85" s="1"/>
      <c r="S85" s="126">
        <f>IFERROR(AVERAGE(H85:R85),0)</f>
        <v>6.8250000000000002</v>
      </c>
      <c r="T85" s="127">
        <f>IFERROR(D85/S85," ")</f>
        <v>10.254945054945054</v>
      </c>
      <c r="U85" s="133">
        <f>IFERROR(D85/E85," ")</f>
        <v>3.1813636363636362</v>
      </c>
      <c r="W85" s="28"/>
    </row>
    <row r="86" spans="1:23">
      <c r="A86" s="48"/>
      <c r="B86" s="25" t="s">
        <v>214</v>
      </c>
      <c r="C86" s="26" t="s">
        <v>187</v>
      </c>
      <c r="D86" s="64">
        <v>70.989999999999995</v>
      </c>
      <c r="E86" s="26">
        <v>22</v>
      </c>
      <c r="F86" s="81" t="s">
        <v>36</v>
      </c>
      <c r="H86" s="12">
        <v>7.5</v>
      </c>
      <c r="I86" s="1"/>
      <c r="J86" s="1">
        <v>6.2</v>
      </c>
      <c r="K86" s="1">
        <v>5</v>
      </c>
      <c r="L86" s="1"/>
      <c r="M86" s="1">
        <v>6.8</v>
      </c>
      <c r="N86" s="1">
        <v>5.7</v>
      </c>
      <c r="O86" s="1">
        <v>8</v>
      </c>
      <c r="P86" s="1"/>
      <c r="Q86" s="1">
        <v>6.4</v>
      </c>
      <c r="R86" s="1"/>
      <c r="S86" s="126">
        <f>IFERROR(AVERAGE(H86:R86),0)</f>
        <v>6.5142857142857142</v>
      </c>
      <c r="T86" s="127">
        <f>IFERROR(D86/S86," ")</f>
        <v>10.897587719298246</v>
      </c>
      <c r="U86" s="133">
        <f>IFERROR(D86/E86," ")</f>
        <v>3.2268181818181816</v>
      </c>
      <c r="W86" s="28"/>
    </row>
    <row r="87" spans="1:23">
      <c r="A87" s="48"/>
      <c r="B87" s="25" t="s">
        <v>239</v>
      </c>
      <c r="C87" s="26" t="s">
        <v>240</v>
      </c>
      <c r="D87" s="64">
        <v>71.95</v>
      </c>
      <c r="E87" s="26">
        <v>22</v>
      </c>
      <c r="F87" s="81" t="s">
        <v>22</v>
      </c>
      <c r="H87" s="12"/>
      <c r="I87" s="1"/>
      <c r="J87" s="1">
        <v>7.3</v>
      </c>
      <c r="K87" s="1"/>
      <c r="L87" s="1"/>
      <c r="M87" s="1"/>
      <c r="N87" s="1"/>
      <c r="O87" s="1"/>
      <c r="P87" s="1"/>
      <c r="Q87" s="1"/>
      <c r="R87" s="1"/>
      <c r="S87" s="126">
        <f>IFERROR(AVERAGE(H87:R87),0)</f>
        <v>7.3</v>
      </c>
      <c r="T87" s="127">
        <f>IFERROR(D87/S87," ")</f>
        <v>9.8561643835616444</v>
      </c>
      <c r="U87" s="133">
        <f>IFERROR(D87/E87," ")</f>
        <v>3.2704545454545455</v>
      </c>
      <c r="W87" s="28"/>
    </row>
    <row r="88" spans="1:23" hidden="1">
      <c r="A88" s="48"/>
      <c r="B88" s="25" t="s">
        <v>166</v>
      </c>
      <c r="C88" s="26" t="s">
        <v>35</v>
      </c>
      <c r="D88" s="64">
        <v>71.989999999999995</v>
      </c>
      <c r="E88" s="26">
        <v>22</v>
      </c>
      <c r="F88" s="82" t="s">
        <v>26</v>
      </c>
      <c r="H88" s="12"/>
      <c r="I88" s="1"/>
      <c r="J88" s="1">
        <v>6.8</v>
      </c>
      <c r="K88" s="1">
        <v>7.4</v>
      </c>
      <c r="L88" s="1"/>
      <c r="M88" s="1">
        <v>7.7</v>
      </c>
      <c r="N88" s="1">
        <v>7.2</v>
      </c>
      <c r="O88" s="1"/>
      <c r="P88" s="1">
        <v>8.5</v>
      </c>
      <c r="Q88" s="1">
        <v>8</v>
      </c>
      <c r="R88" s="1"/>
      <c r="S88" s="126">
        <f>IFERROR(AVERAGE(H88:R88),0)</f>
        <v>7.5999999999999988</v>
      </c>
      <c r="T88" s="127">
        <f>IFERROR(D88/S88," ")</f>
        <v>9.4723684210526322</v>
      </c>
      <c r="U88" s="133">
        <f>IFERROR(D88/E88," ")</f>
        <v>3.272272727272727</v>
      </c>
      <c r="W88" s="28"/>
    </row>
    <row r="89" spans="1:23">
      <c r="B89" s="25" t="s">
        <v>50</v>
      </c>
      <c r="C89" s="26" t="s">
        <v>51</v>
      </c>
      <c r="D89" s="64">
        <v>72</v>
      </c>
      <c r="E89" s="36">
        <v>22</v>
      </c>
      <c r="F89" s="82" t="s">
        <v>22</v>
      </c>
      <c r="H89" s="12"/>
      <c r="I89" s="1"/>
      <c r="J89" s="1">
        <v>5.5</v>
      </c>
      <c r="K89" s="1"/>
      <c r="L89" s="1"/>
      <c r="M89" s="1"/>
      <c r="N89" s="1"/>
      <c r="O89" s="1"/>
      <c r="P89" s="1"/>
      <c r="Q89" s="1">
        <v>6</v>
      </c>
      <c r="R89" s="1"/>
      <c r="S89" s="126">
        <f>IFERROR(AVERAGE(H89:R89),0)</f>
        <v>5.75</v>
      </c>
      <c r="T89" s="127">
        <f>IFERROR(D89/S89," ")</f>
        <v>12.521739130434783</v>
      </c>
      <c r="U89" s="133">
        <f>IFERROR(D89/E89," ")</f>
        <v>3.2727272727272729</v>
      </c>
      <c r="W89" s="28"/>
    </row>
    <row r="90" spans="1:23" hidden="1">
      <c r="A90" s="48"/>
      <c r="B90" s="12" t="s">
        <v>157</v>
      </c>
      <c r="C90" s="1" t="s">
        <v>61</v>
      </c>
      <c r="D90" s="63">
        <v>72</v>
      </c>
      <c r="E90" s="36">
        <v>23.1</v>
      </c>
      <c r="F90" s="187" t="s">
        <v>46</v>
      </c>
      <c r="H90" s="12"/>
      <c r="I90" s="1"/>
      <c r="J90" s="1"/>
      <c r="K90" s="1"/>
      <c r="L90" s="1"/>
      <c r="M90" s="1"/>
      <c r="N90" s="1">
        <v>6.5</v>
      </c>
      <c r="O90" s="1"/>
      <c r="P90" s="1"/>
      <c r="Q90" s="1"/>
      <c r="R90" s="1"/>
      <c r="S90" s="126">
        <f>IFERROR(AVERAGE(H90:R90),0)</f>
        <v>6.5</v>
      </c>
      <c r="T90" s="127">
        <f>IFERROR(D90/S90," ")</f>
        <v>11.076923076923077</v>
      </c>
      <c r="U90" s="133">
        <f>IFERROR(D90/E90," ")</f>
        <v>3.1168831168831166</v>
      </c>
      <c r="W90" s="28"/>
    </row>
    <row r="91" spans="1:23" hidden="1">
      <c r="A91" s="48"/>
      <c r="B91" s="25" t="s">
        <v>179</v>
      </c>
      <c r="C91" s="26" t="s">
        <v>122</v>
      </c>
      <c r="D91" s="64">
        <v>72</v>
      </c>
      <c r="E91" s="36">
        <v>22.8</v>
      </c>
      <c r="F91" s="82" t="s">
        <v>26</v>
      </c>
      <c r="H91" s="12">
        <v>7</v>
      </c>
      <c r="I91" s="1"/>
      <c r="J91" s="1">
        <v>6.7</v>
      </c>
      <c r="K91" s="1">
        <v>7.6</v>
      </c>
      <c r="L91" s="1"/>
      <c r="M91" s="1"/>
      <c r="N91" s="1">
        <v>7.6</v>
      </c>
      <c r="O91" s="1"/>
      <c r="P91" s="1">
        <v>7</v>
      </c>
      <c r="Q91" s="1">
        <v>8</v>
      </c>
      <c r="R91" s="1"/>
      <c r="S91" s="126">
        <f>IFERROR(AVERAGE(H91:R91),0)</f>
        <v>7.3166666666666664</v>
      </c>
      <c r="T91" s="127">
        <f>IFERROR(D91/S91," ")</f>
        <v>9.8405466970387252</v>
      </c>
      <c r="U91" s="133">
        <f>IFERROR(D91/E91," ")</f>
        <v>3.1578947368421053</v>
      </c>
      <c r="W91" s="28"/>
    </row>
    <row r="92" spans="1:23">
      <c r="A92" s="48"/>
      <c r="B92" s="12" t="s">
        <v>247</v>
      </c>
      <c r="C92" s="26" t="s">
        <v>240</v>
      </c>
      <c r="D92" s="64">
        <v>73</v>
      </c>
      <c r="E92" s="26">
        <v>22</v>
      </c>
      <c r="F92" s="82" t="s">
        <v>43</v>
      </c>
      <c r="H92" s="12">
        <v>7.5</v>
      </c>
      <c r="I92" s="1">
        <v>5.8</v>
      </c>
      <c r="J92" s="1">
        <v>7</v>
      </c>
      <c r="K92" s="1"/>
      <c r="L92" s="1"/>
      <c r="M92" s="1"/>
      <c r="N92" s="1">
        <v>7.6</v>
      </c>
      <c r="O92" s="1">
        <v>7</v>
      </c>
      <c r="P92" s="1"/>
      <c r="Q92" s="1"/>
      <c r="R92" s="1"/>
      <c r="S92" s="126">
        <f>IFERROR(AVERAGE(H92:R92),0)</f>
        <v>6.9799999999999995</v>
      </c>
      <c r="T92" s="127">
        <f>IFERROR(D92/S92," ")</f>
        <v>10.458452722063038</v>
      </c>
      <c r="U92" s="133">
        <f>IFERROR(D92/E92," ")</f>
        <v>3.3181818181818183</v>
      </c>
      <c r="W92" s="28"/>
    </row>
    <row r="93" spans="1:23" hidden="1">
      <c r="B93" s="12" t="s">
        <v>70</v>
      </c>
      <c r="C93" s="1" t="s">
        <v>71</v>
      </c>
      <c r="D93" s="63">
        <v>73.989999999999995</v>
      </c>
      <c r="E93" s="1">
        <v>31.2</v>
      </c>
      <c r="F93" s="81" t="s">
        <v>36</v>
      </c>
      <c r="H93" s="12">
        <v>6.5</v>
      </c>
      <c r="I93" s="1"/>
      <c r="J93" s="1">
        <v>6.5</v>
      </c>
      <c r="K93" s="1"/>
      <c r="L93" s="1"/>
      <c r="M93" s="1"/>
      <c r="N93" s="1">
        <v>6</v>
      </c>
      <c r="O93" s="1"/>
      <c r="P93" s="1"/>
      <c r="Q93" s="1"/>
      <c r="R93" s="1"/>
      <c r="S93" s="126">
        <f>IFERROR(AVERAGE(H93:R93),0)</f>
        <v>6.333333333333333</v>
      </c>
      <c r="T93" s="127">
        <f>IFERROR(D93/S93," ")</f>
        <v>11.682631578947369</v>
      </c>
      <c r="U93" s="133">
        <f>IFERROR(D93/E93," ")</f>
        <v>2.3714743589743588</v>
      </c>
      <c r="W93" s="28"/>
    </row>
    <row r="94" spans="1:23" hidden="1">
      <c r="B94" s="12" t="s">
        <v>93</v>
      </c>
      <c r="C94" s="1" t="s">
        <v>94</v>
      </c>
      <c r="D94" s="63">
        <v>73.989999999999995</v>
      </c>
      <c r="E94" s="1">
        <v>22</v>
      </c>
      <c r="F94" s="81" t="s">
        <v>43</v>
      </c>
      <c r="H94" s="12">
        <v>7.5</v>
      </c>
      <c r="I94" s="1"/>
      <c r="J94" s="1">
        <v>7</v>
      </c>
      <c r="K94" s="1">
        <v>7.2</v>
      </c>
      <c r="L94" s="1"/>
      <c r="M94" s="1"/>
      <c r="N94" s="1">
        <v>7.2</v>
      </c>
      <c r="O94" s="1"/>
      <c r="P94" s="1"/>
      <c r="Q94" s="1">
        <v>8</v>
      </c>
      <c r="R94" s="1"/>
      <c r="S94" s="126">
        <f>IFERROR(AVERAGE(H94:R94),0)</f>
        <v>7.38</v>
      </c>
      <c r="T94" s="127">
        <f>IFERROR(D94/S94," ")</f>
        <v>10.025745257452574</v>
      </c>
      <c r="U94" s="133">
        <f>IFERROR(D94/E94," ")</f>
        <v>3.3631818181818178</v>
      </c>
      <c r="W94" s="28"/>
    </row>
    <row r="95" spans="1:23" hidden="1">
      <c r="B95" s="12" t="s">
        <v>84</v>
      </c>
      <c r="C95" s="1" t="s">
        <v>35</v>
      </c>
      <c r="D95" s="63">
        <v>74.900000000000006</v>
      </c>
      <c r="E95" s="1">
        <v>22</v>
      </c>
      <c r="F95" s="81" t="s">
        <v>43</v>
      </c>
      <c r="H95" s="12">
        <v>8.5</v>
      </c>
      <c r="I95" s="1"/>
      <c r="J95" s="1">
        <v>9</v>
      </c>
      <c r="K95" s="1">
        <v>8.3000000000000007</v>
      </c>
      <c r="L95" s="1"/>
      <c r="M95" s="1"/>
      <c r="N95" s="1">
        <v>8.8000000000000007</v>
      </c>
      <c r="O95" s="1"/>
      <c r="P95" s="1"/>
      <c r="Q95" s="1"/>
      <c r="R95" s="1"/>
      <c r="S95" s="126">
        <f>IFERROR(AVERAGE(H95:R95),0)</f>
        <v>8.65</v>
      </c>
      <c r="T95" s="127">
        <f>IFERROR(D95/S95," ")</f>
        <v>8.6589595375722546</v>
      </c>
      <c r="U95" s="133">
        <f>IFERROR(D95/E95," ")</f>
        <v>3.4045454545454548</v>
      </c>
      <c r="W95" s="28"/>
    </row>
    <row r="96" spans="1:23" hidden="1">
      <c r="B96" s="12" t="s">
        <v>132</v>
      </c>
      <c r="C96" s="1" t="s">
        <v>97</v>
      </c>
      <c r="D96" s="63">
        <v>74.989999999999995</v>
      </c>
      <c r="E96" s="1">
        <v>20.7</v>
      </c>
      <c r="F96" s="81" t="s">
        <v>14</v>
      </c>
      <c r="H96" s="12">
        <v>6.5</v>
      </c>
      <c r="I96" s="1"/>
      <c r="J96" s="1">
        <v>5</v>
      </c>
      <c r="K96" s="1"/>
      <c r="L96" s="1"/>
      <c r="M96" s="1"/>
      <c r="N96" s="1">
        <v>7.5</v>
      </c>
      <c r="O96" s="1"/>
      <c r="P96" s="1"/>
      <c r="Q96" s="1">
        <v>7.5</v>
      </c>
      <c r="R96" s="1"/>
      <c r="S96" s="126">
        <f>IFERROR(AVERAGE(H96:R96),0)</f>
        <v>6.625</v>
      </c>
      <c r="T96" s="127">
        <f>IFERROR(D96/S96," ")</f>
        <v>11.319245283018867</v>
      </c>
      <c r="U96" s="133">
        <f>IFERROR(D96/E96," ")</f>
        <v>3.6227053140096617</v>
      </c>
      <c r="W96" s="28"/>
    </row>
    <row r="97" spans="1:23">
      <c r="A97" s="48"/>
      <c r="B97" s="12" t="s">
        <v>267</v>
      </c>
      <c r="C97" s="1" t="s">
        <v>260</v>
      </c>
      <c r="D97" s="63">
        <v>75</v>
      </c>
      <c r="E97" s="1">
        <v>22</v>
      </c>
      <c r="F97" s="81" t="s">
        <v>36</v>
      </c>
      <c r="H97" s="12">
        <v>7.5</v>
      </c>
      <c r="I97" s="1"/>
      <c r="J97" s="1">
        <v>7.25</v>
      </c>
      <c r="K97" s="1"/>
      <c r="L97" s="1"/>
      <c r="M97" s="1">
        <v>7.7</v>
      </c>
      <c r="N97" s="1">
        <v>8</v>
      </c>
      <c r="O97" s="1">
        <v>9</v>
      </c>
      <c r="P97" s="1"/>
      <c r="Q97" s="1"/>
      <c r="R97" s="1"/>
      <c r="S97" s="126">
        <f>IFERROR(AVERAGE(H97:R97),0)</f>
        <v>7.8900000000000006</v>
      </c>
      <c r="T97" s="127">
        <f>IFERROR(D97/S97," ")</f>
        <v>9.5057034220532319</v>
      </c>
      <c r="U97" s="133">
        <f>IFERROR(D97/E97," ")</f>
        <v>3.4090909090909092</v>
      </c>
      <c r="W97" s="28"/>
    </row>
    <row r="98" spans="1:23">
      <c r="A98" s="48"/>
      <c r="B98" s="12" t="s">
        <v>290</v>
      </c>
      <c r="C98" s="8" t="s">
        <v>38</v>
      </c>
      <c r="D98" s="63">
        <v>75</v>
      </c>
      <c r="E98" s="1">
        <v>22</v>
      </c>
      <c r="F98" s="81" t="s">
        <v>22</v>
      </c>
      <c r="H98" s="12">
        <v>7.5</v>
      </c>
      <c r="I98" s="1">
        <v>4</v>
      </c>
      <c r="J98" s="1">
        <v>7.3</v>
      </c>
      <c r="K98" s="1">
        <v>3</v>
      </c>
      <c r="L98" s="1"/>
      <c r="M98" s="1"/>
      <c r="N98" s="1">
        <v>7</v>
      </c>
      <c r="O98" s="1"/>
      <c r="P98" s="1"/>
      <c r="Q98" s="1">
        <v>6</v>
      </c>
      <c r="R98" s="1"/>
      <c r="S98" s="126">
        <f>IFERROR(AVERAGE(H98:R98),0)</f>
        <v>5.8</v>
      </c>
      <c r="T98" s="127">
        <f>IFERROR(D98/S98," ")</f>
        <v>12.931034482758621</v>
      </c>
      <c r="U98" s="133">
        <f>IFERROR(D98/E98," ")</f>
        <v>3.4090909090909092</v>
      </c>
      <c r="W98" s="28"/>
    </row>
    <row r="99" spans="1:23" hidden="1">
      <c r="A99" s="48"/>
      <c r="B99" s="12" t="s">
        <v>278</v>
      </c>
      <c r="C99" s="1" t="s">
        <v>54</v>
      </c>
      <c r="D99" s="63">
        <v>75.900000000000006</v>
      </c>
      <c r="E99" s="1" t="s">
        <v>279</v>
      </c>
      <c r="F99" s="81" t="s">
        <v>14</v>
      </c>
      <c r="H99" s="12">
        <v>7.5</v>
      </c>
      <c r="I99" s="1"/>
      <c r="J99" s="1"/>
      <c r="K99" s="1"/>
      <c r="L99" s="1"/>
      <c r="M99" s="1"/>
      <c r="N99" s="1">
        <v>6.4</v>
      </c>
      <c r="O99" s="1"/>
      <c r="P99" s="1"/>
      <c r="Q99" s="1"/>
      <c r="R99" s="1">
        <v>6</v>
      </c>
      <c r="S99" s="126">
        <f>IFERROR(AVERAGE(H99:R99),0)</f>
        <v>6.6333333333333329</v>
      </c>
      <c r="T99" s="127">
        <f>IFERROR(D99/S99," ")</f>
        <v>11.442211055276383</v>
      </c>
      <c r="U99" s="133" t="str">
        <f>IFERROR(D99/E99," ")</f>
        <v xml:space="preserve"> </v>
      </c>
      <c r="W99" s="28"/>
    </row>
    <row r="100" spans="1:23" hidden="1">
      <c r="A100" s="48"/>
      <c r="B100" s="12" t="s">
        <v>160</v>
      </c>
      <c r="C100" s="1" t="s">
        <v>40</v>
      </c>
      <c r="D100" s="63">
        <v>76.989999999999995</v>
      </c>
      <c r="E100" s="1">
        <v>26</v>
      </c>
      <c r="F100" s="81" t="s">
        <v>36</v>
      </c>
      <c r="H100" s="12">
        <v>6</v>
      </c>
      <c r="I100" s="1"/>
      <c r="J100" s="1">
        <v>5.6</v>
      </c>
      <c r="K100" s="1"/>
      <c r="L100" s="1"/>
      <c r="M100" s="1">
        <v>8.5</v>
      </c>
      <c r="N100" s="1">
        <v>8.6</v>
      </c>
      <c r="O100" s="1"/>
      <c r="P100" s="1">
        <v>8.5</v>
      </c>
      <c r="Q100" s="1"/>
      <c r="R100" s="1"/>
      <c r="S100" s="126">
        <f>IFERROR(AVERAGE(H100:R100),0)</f>
        <v>7.44</v>
      </c>
      <c r="T100" s="127">
        <f>IFERROR(D100/S100," ")</f>
        <v>10.348118279569892</v>
      </c>
      <c r="U100" s="133">
        <f>IFERROR(D100/E100," ")</f>
        <v>2.961153846153846</v>
      </c>
      <c r="W100" s="28"/>
    </row>
    <row r="101" spans="1:23">
      <c r="A101" s="48"/>
      <c r="B101" s="12" t="s">
        <v>225</v>
      </c>
      <c r="C101" s="1" t="s">
        <v>226</v>
      </c>
      <c r="D101" s="63">
        <v>76.989999999999995</v>
      </c>
      <c r="E101" s="1">
        <v>22</v>
      </c>
      <c r="F101" s="81" t="s">
        <v>36</v>
      </c>
      <c r="H101" s="12">
        <v>7.5</v>
      </c>
      <c r="I101" s="1">
        <v>7.5</v>
      </c>
      <c r="J101" s="1">
        <v>8</v>
      </c>
      <c r="K101" s="1">
        <v>6.7</v>
      </c>
      <c r="L101" s="1"/>
      <c r="M101" s="1">
        <v>7.4</v>
      </c>
      <c r="N101" s="1"/>
      <c r="O101" s="1">
        <v>7.5</v>
      </c>
      <c r="P101" s="1">
        <v>8.5</v>
      </c>
      <c r="Q101" s="1">
        <v>8</v>
      </c>
      <c r="R101" s="1"/>
      <c r="S101" s="126">
        <f>IFERROR(AVERAGE(H101:R101),0)</f>
        <v>7.6375000000000002</v>
      </c>
      <c r="T101" s="127">
        <f>IFERROR(D101/S101," ")</f>
        <v>10.08052373158756</v>
      </c>
      <c r="U101" s="133">
        <f>IFERROR(D101/E101," ")</f>
        <v>3.4995454545454545</v>
      </c>
      <c r="W101" s="28"/>
    </row>
    <row r="102" spans="1:23" hidden="1">
      <c r="B102" s="12" t="s">
        <v>140</v>
      </c>
      <c r="C102" s="1" t="s">
        <v>141</v>
      </c>
      <c r="D102" s="63">
        <v>77.989999999999995</v>
      </c>
      <c r="E102" s="1">
        <v>22</v>
      </c>
      <c r="F102" s="81" t="s">
        <v>43</v>
      </c>
      <c r="H102" s="12">
        <v>8</v>
      </c>
      <c r="I102" s="1"/>
      <c r="J102" s="1"/>
      <c r="K102" s="1">
        <v>8.3000000000000007</v>
      </c>
      <c r="L102" s="1"/>
      <c r="M102" s="1">
        <v>7.6</v>
      </c>
      <c r="N102" s="1">
        <v>8.1999999999999993</v>
      </c>
      <c r="O102" s="1"/>
      <c r="P102" s="1"/>
      <c r="Q102" s="1">
        <v>6.5</v>
      </c>
      <c r="R102" s="1"/>
      <c r="S102" s="126">
        <f>IFERROR(AVERAGE(H102:R102),0)</f>
        <v>7.7199999999999989</v>
      </c>
      <c r="T102" s="127">
        <f>IFERROR(D102/S102," ")</f>
        <v>10.102331606217618</v>
      </c>
      <c r="U102" s="133">
        <f>IFERROR(D102/E102," ")</f>
        <v>3.5449999999999999</v>
      </c>
      <c r="W102" s="28"/>
    </row>
    <row r="103" spans="1:23">
      <c r="A103" s="48"/>
      <c r="B103" s="12" t="s">
        <v>183</v>
      </c>
      <c r="C103" s="1" t="s">
        <v>49</v>
      </c>
      <c r="D103" s="63">
        <v>77.989999999999995</v>
      </c>
      <c r="E103" s="1">
        <v>22</v>
      </c>
      <c r="F103" s="86" t="s">
        <v>22</v>
      </c>
      <c r="H103" s="12">
        <v>7</v>
      </c>
      <c r="I103" s="1"/>
      <c r="J103" s="1">
        <v>6.8</v>
      </c>
      <c r="K103" s="1">
        <v>6.8</v>
      </c>
      <c r="L103" s="1"/>
      <c r="M103" s="1">
        <v>7.7</v>
      </c>
      <c r="N103" s="1"/>
      <c r="O103" s="1"/>
      <c r="P103" s="1">
        <v>5.9</v>
      </c>
      <c r="Q103" s="1">
        <v>7</v>
      </c>
      <c r="R103" s="1"/>
      <c r="S103" s="126">
        <f>IFERROR(AVERAGE(H103:R103),0)</f>
        <v>6.8666666666666671</v>
      </c>
      <c r="T103" s="127">
        <f>IFERROR(D103/S103," ")</f>
        <v>11.35776699029126</v>
      </c>
      <c r="U103" s="133">
        <f>IFERROR(D103/E103," ")</f>
        <v>3.5449999999999999</v>
      </c>
      <c r="W103" s="28"/>
    </row>
    <row r="104" spans="1:23">
      <c r="A104" s="48"/>
      <c r="B104" s="12" t="s">
        <v>250</v>
      </c>
      <c r="C104" s="1" t="s">
        <v>240</v>
      </c>
      <c r="D104" s="63">
        <v>77.989999999999995</v>
      </c>
      <c r="E104" s="1">
        <v>22</v>
      </c>
      <c r="F104" s="187" t="s">
        <v>251</v>
      </c>
      <c r="H104" s="12"/>
      <c r="I104" s="1">
        <v>8.1999999999999993</v>
      </c>
      <c r="J104" s="1">
        <v>8.3000000000000007</v>
      </c>
      <c r="K104" s="1">
        <v>8.0250000000000004</v>
      </c>
      <c r="L104" s="1"/>
      <c r="M104" s="1">
        <v>7.9</v>
      </c>
      <c r="N104" s="1">
        <v>8.6</v>
      </c>
      <c r="O104" s="1"/>
      <c r="P104" s="1">
        <v>8</v>
      </c>
      <c r="Q104" s="1"/>
      <c r="R104" s="1"/>
      <c r="S104" s="126">
        <f>IFERROR(AVERAGE(H104:R104),0)</f>
        <v>8.1708333333333325</v>
      </c>
      <c r="T104" s="127">
        <f>IFERROR(D104/S104," ")</f>
        <v>9.5449260581336048</v>
      </c>
      <c r="U104" s="133">
        <f>IFERROR(D104/E104," ")</f>
        <v>3.5449999999999999</v>
      </c>
      <c r="W104" s="28"/>
    </row>
    <row r="105" spans="1:23" hidden="1">
      <c r="B105" s="12" t="s">
        <v>142</v>
      </c>
      <c r="C105" s="1" t="s">
        <v>61</v>
      </c>
      <c r="D105" s="63">
        <v>78.989999999999995</v>
      </c>
      <c r="E105" s="1">
        <v>23</v>
      </c>
      <c r="F105" s="81" t="s">
        <v>46</v>
      </c>
      <c r="H105" s="12">
        <v>7.5</v>
      </c>
      <c r="I105" s="1"/>
      <c r="J105" s="1"/>
      <c r="K105" s="1">
        <v>7.8</v>
      </c>
      <c r="L105" s="1"/>
      <c r="M105" s="1"/>
      <c r="N105" s="1">
        <v>8</v>
      </c>
      <c r="O105" s="1"/>
      <c r="P105" s="1"/>
      <c r="Q105" s="1">
        <v>8</v>
      </c>
      <c r="R105" s="1"/>
      <c r="S105" s="126">
        <f>IFERROR(AVERAGE(H105:R105),0)</f>
        <v>7.8250000000000002</v>
      </c>
      <c r="T105" s="127">
        <f>IFERROR(D105/S105," ")</f>
        <v>10.094568690095846</v>
      </c>
      <c r="U105" s="133">
        <f>IFERROR(D105/E105," ")</f>
        <v>3.4343478260869564</v>
      </c>
      <c r="W105" s="28"/>
    </row>
    <row r="106" spans="1:23">
      <c r="A106" s="48"/>
      <c r="B106" s="12" t="s">
        <v>275</v>
      </c>
      <c r="C106" s="1" t="s">
        <v>276</v>
      </c>
      <c r="D106" s="63">
        <v>78.989999999999995</v>
      </c>
      <c r="E106" s="1">
        <v>22</v>
      </c>
      <c r="F106" s="81" t="s">
        <v>256</v>
      </c>
      <c r="H106" s="12">
        <v>7.51</v>
      </c>
      <c r="I106" s="1"/>
      <c r="J106" s="1"/>
      <c r="K106" s="1">
        <v>7.9</v>
      </c>
      <c r="L106" s="1"/>
      <c r="M106" s="1"/>
      <c r="N106" s="1">
        <v>9</v>
      </c>
      <c r="O106" s="1">
        <v>10</v>
      </c>
      <c r="P106" s="1"/>
      <c r="Q106" s="1">
        <v>7.5</v>
      </c>
      <c r="R106" s="1">
        <v>9</v>
      </c>
      <c r="S106" s="126">
        <f>IFERROR(AVERAGE(H106:R106),0)</f>
        <v>8.4849999999999994</v>
      </c>
      <c r="T106" s="127">
        <f>IFERROR(D106/S106," ")</f>
        <v>9.3093694755450791</v>
      </c>
      <c r="U106" s="133">
        <f>IFERROR(D106/E106," ")</f>
        <v>3.5904545454545453</v>
      </c>
      <c r="W106" s="28"/>
    </row>
    <row r="107" spans="1:23" hidden="1">
      <c r="A107" s="48"/>
      <c r="B107" s="12" t="s">
        <v>287</v>
      </c>
      <c r="C107" t="s">
        <v>288</v>
      </c>
      <c r="D107" s="63">
        <v>78.989999999999995</v>
      </c>
      <c r="E107" s="1">
        <v>19</v>
      </c>
      <c r="F107" s="81" t="s">
        <v>26</v>
      </c>
      <c r="H107" s="12"/>
      <c r="I107" s="1"/>
      <c r="J107" s="1"/>
      <c r="K107" s="1">
        <v>8.3000000000000007</v>
      </c>
      <c r="L107" s="1"/>
      <c r="M107" s="1"/>
      <c r="N107" s="1">
        <v>8.9</v>
      </c>
      <c r="O107" s="1"/>
      <c r="P107" s="1"/>
      <c r="Q107" s="1"/>
      <c r="R107" s="1"/>
      <c r="S107" s="126">
        <f>IFERROR(AVERAGE(H107:R107),0)</f>
        <v>8.6000000000000014</v>
      </c>
      <c r="T107" s="127">
        <f>IFERROR(D107/S107," ")</f>
        <v>9.1848837209302303</v>
      </c>
      <c r="U107" s="133">
        <f>IFERROR(D107/E107," ")</f>
        <v>4.1573684210526309</v>
      </c>
      <c r="W107" s="28" t="s">
        <v>209</v>
      </c>
    </row>
    <row r="108" spans="1:23">
      <c r="A108" s="48"/>
      <c r="B108" s="12" t="s">
        <v>289</v>
      </c>
      <c r="C108" s="1" t="s">
        <v>49</v>
      </c>
      <c r="D108" s="63">
        <v>78.989999999999995</v>
      </c>
      <c r="E108" s="1">
        <v>22</v>
      </c>
      <c r="F108" s="81" t="s">
        <v>36</v>
      </c>
      <c r="H108" s="12">
        <v>7.5</v>
      </c>
      <c r="I108" s="1"/>
      <c r="J108" s="1">
        <v>5.7</v>
      </c>
      <c r="K108" s="1">
        <v>7.5</v>
      </c>
      <c r="L108" s="1"/>
      <c r="M108" s="1">
        <v>7</v>
      </c>
      <c r="N108" s="1">
        <v>8.6</v>
      </c>
      <c r="O108" s="1"/>
      <c r="P108" s="1"/>
      <c r="Q108" s="1">
        <v>5.5</v>
      </c>
      <c r="R108" s="1"/>
      <c r="S108" s="126">
        <f>IFERROR(AVERAGE(H108:R108),0)</f>
        <v>6.9666666666666659</v>
      </c>
      <c r="T108" s="127">
        <f>IFERROR(D108/S108," ")</f>
        <v>11.338277511961723</v>
      </c>
      <c r="U108" s="133">
        <f>IFERROR(D108/E108," ")</f>
        <v>3.5904545454545453</v>
      </c>
      <c r="W108" s="28"/>
    </row>
    <row r="109" spans="1:23" hidden="1">
      <c r="A109" s="48"/>
      <c r="B109" s="12" t="s">
        <v>257</v>
      </c>
      <c r="C109" s="1" t="s">
        <v>35</v>
      </c>
      <c r="D109" s="63">
        <v>79</v>
      </c>
      <c r="E109" s="1">
        <v>22</v>
      </c>
      <c r="F109" s="81" t="s">
        <v>43</v>
      </c>
      <c r="H109" s="12">
        <v>7.6</v>
      </c>
      <c r="I109" s="1"/>
      <c r="J109" s="1">
        <v>8.6999999999999993</v>
      </c>
      <c r="K109" s="1">
        <v>8.3000000000000007</v>
      </c>
      <c r="L109" s="1"/>
      <c r="M109" s="1">
        <v>8.5</v>
      </c>
      <c r="N109" s="1">
        <v>8.9</v>
      </c>
      <c r="O109" s="1">
        <v>8</v>
      </c>
      <c r="P109" s="1"/>
      <c r="Q109" s="1">
        <v>7.2</v>
      </c>
      <c r="R109" s="1"/>
      <c r="S109" s="126">
        <f>IFERROR(AVERAGE(H109:R109),0)</f>
        <v>8.1714285714285708</v>
      </c>
      <c r="T109" s="127">
        <f>IFERROR(D109/S109," ")</f>
        <v>9.6678321678321684</v>
      </c>
      <c r="U109" s="133">
        <f>IFERROR(D109/E109," ")</f>
        <v>3.5909090909090908</v>
      </c>
      <c r="W109" s="28"/>
    </row>
    <row r="110" spans="1:23" hidden="1">
      <c r="B110" s="12" t="s">
        <v>63</v>
      </c>
      <c r="C110" s="1" t="s">
        <v>54</v>
      </c>
      <c r="D110" s="63">
        <v>79.989999999999995</v>
      </c>
      <c r="E110" s="1">
        <v>22</v>
      </c>
      <c r="F110" s="187" t="s">
        <v>28</v>
      </c>
      <c r="H110" s="12">
        <v>8</v>
      </c>
      <c r="I110" s="1"/>
      <c r="J110" s="1">
        <v>8</v>
      </c>
      <c r="K110" s="1">
        <v>7.5</v>
      </c>
      <c r="L110" s="1"/>
      <c r="M110" s="1"/>
      <c r="N110" s="1">
        <v>7.4</v>
      </c>
      <c r="O110" s="1"/>
      <c r="P110" s="1"/>
      <c r="Q110" s="1"/>
      <c r="R110" s="1"/>
      <c r="S110" s="126">
        <f>IFERROR(AVERAGE(H110:R110),0)</f>
        <v>7.7249999999999996</v>
      </c>
      <c r="T110" s="127">
        <f>IFERROR(D110/S110," ")</f>
        <v>10.354692556634305</v>
      </c>
      <c r="U110" s="133">
        <f>IFERROR(D110/E110," ")</f>
        <v>3.6359090909090908</v>
      </c>
      <c r="W110" s="28"/>
    </row>
    <row r="111" spans="1:23">
      <c r="A111" s="48"/>
      <c r="B111" s="12" t="s">
        <v>158</v>
      </c>
      <c r="C111" s="1" t="s">
        <v>159</v>
      </c>
      <c r="D111" s="63">
        <v>79.989999999999995</v>
      </c>
      <c r="E111" s="1">
        <v>23.8</v>
      </c>
      <c r="F111" s="86" t="s">
        <v>22</v>
      </c>
      <c r="H111" s="12">
        <v>7.4</v>
      </c>
      <c r="I111" s="1">
        <v>7</v>
      </c>
      <c r="J111" s="1">
        <v>7.75</v>
      </c>
      <c r="K111" s="1">
        <v>7.5</v>
      </c>
      <c r="L111" s="1">
        <v>7.3</v>
      </c>
      <c r="M111" s="1">
        <v>8.1</v>
      </c>
      <c r="N111" s="1">
        <v>8.3000000000000007</v>
      </c>
      <c r="O111" s="1"/>
      <c r="P111" s="1"/>
      <c r="Q111" s="1">
        <v>8</v>
      </c>
      <c r="R111" s="1"/>
      <c r="S111" s="126">
        <f>IFERROR(AVERAGE(H111:R111),0)</f>
        <v>7.6687499999999993</v>
      </c>
      <c r="T111" s="127">
        <f>IFERROR(D111/S111," ")</f>
        <v>10.430643846780766</v>
      </c>
      <c r="U111" s="133">
        <f>IFERROR(D111/E111," ")</f>
        <v>3.3609243697478988</v>
      </c>
      <c r="W111" s="28"/>
    </row>
    <row r="112" spans="1:23" hidden="1">
      <c r="A112" s="48"/>
      <c r="B112" s="12" t="s">
        <v>197</v>
      </c>
      <c r="C112" s="1" t="s">
        <v>198</v>
      </c>
      <c r="D112" s="63">
        <v>79.989999999999995</v>
      </c>
      <c r="E112" s="1">
        <v>22.1</v>
      </c>
      <c r="F112" s="81" t="s">
        <v>26</v>
      </c>
      <c r="H112" s="12">
        <v>7</v>
      </c>
      <c r="I112" s="1">
        <v>7</v>
      </c>
      <c r="J112" s="1">
        <v>7.2</v>
      </c>
      <c r="K112" s="1">
        <v>7.2</v>
      </c>
      <c r="L112" s="1"/>
      <c r="M112" s="1">
        <v>6.8</v>
      </c>
      <c r="N112" s="1">
        <v>6.3</v>
      </c>
      <c r="O112" s="1"/>
      <c r="P112" s="1"/>
      <c r="Q112" s="1">
        <v>7.6</v>
      </c>
      <c r="R112" s="1"/>
      <c r="S112" s="126">
        <f>IFERROR(AVERAGE(H112:R112),0)</f>
        <v>7.0142857142857133</v>
      </c>
      <c r="T112" s="127">
        <f>IFERROR(D112/S112," ")</f>
        <v>11.403869653767822</v>
      </c>
      <c r="U112" s="133">
        <f>IFERROR(D112/E112," ")</f>
        <v>3.6194570135746602</v>
      </c>
      <c r="W112" s="28" t="s">
        <v>217</v>
      </c>
    </row>
    <row r="113" spans="1:23" hidden="1">
      <c r="A113" s="48"/>
      <c r="B113" s="12" t="s">
        <v>291</v>
      </c>
      <c r="C113" s="63" t="s">
        <v>150</v>
      </c>
      <c r="D113" s="63">
        <v>79.989999999999995</v>
      </c>
      <c r="E113" s="1">
        <v>22</v>
      </c>
      <c r="F113" s="81" t="s">
        <v>14</v>
      </c>
      <c r="H113" s="12">
        <v>7.5</v>
      </c>
      <c r="I113" s="1"/>
      <c r="J113" s="1">
        <v>8</v>
      </c>
      <c r="K113" s="1"/>
      <c r="L113" s="1"/>
      <c r="M113" s="1">
        <v>7.9</v>
      </c>
      <c r="N113" s="1">
        <v>8.1999999999999993</v>
      </c>
      <c r="O113" s="1"/>
      <c r="P113" s="1"/>
      <c r="Q113" s="1">
        <v>8</v>
      </c>
      <c r="R113" s="1"/>
      <c r="S113" s="126">
        <f>IFERROR(AVERAGE(H113:R113),0)</f>
        <v>7.919999999999999</v>
      </c>
      <c r="T113" s="127">
        <f>IFERROR(D113/S113," ")</f>
        <v>10.099747474747476</v>
      </c>
      <c r="U113" s="133">
        <f>IFERROR(D113/E113," ")</f>
        <v>3.6359090909090908</v>
      </c>
      <c r="W113" s="28"/>
    </row>
    <row r="114" spans="1:23">
      <c r="A114" s="48"/>
      <c r="B114" s="12" t="s">
        <v>309</v>
      </c>
      <c r="C114" s="63" t="s">
        <v>206</v>
      </c>
      <c r="D114" s="63">
        <v>79.989999999999995</v>
      </c>
      <c r="E114" s="1">
        <v>23</v>
      </c>
      <c r="F114" s="81" t="s">
        <v>43</v>
      </c>
      <c r="H114" s="12"/>
      <c r="I114" s="1"/>
      <c r="J114" s="1"/>
      <c r="K114" s="1"/>
      <c r="L114" s="1"/>
      <c r="M114" s="1">
        <v>6.5</v>
      </c>
      <c r="N114" s="1">
        <v>6.5</v>
      </c>
      <c r="O114" s="1"/>
      <c r="P114" s="1"/>
      <c r="Q114" s="1"/>
      <c r="R114" s="1"/>
      <c r="S114" s="126">
        <f>IFERROR(AVERAGE(H114:R114),0)</f>
        <v>6.5</v>
      </c>
      <c r="T114" s="127">
        <f>IFERROR(D114/S114," ")</f>
        <v>12.306153846153846</v>
      </c>
      <c r="U114" s="133">
        <f>IFERROR(D114/E114," ")</f>
        <v>3.4778260869565214</v>
      </c>
      <c r="W114" s="28"/>
    </row>
    <row r="115" spans="1:23">
      <c r="A115" s="48"/>
      <c r="B115" s="12" t="s">
        <v>318</v>
      </c>
      <c r="C115" s="63" t="s">
        <v>80</v>
      </c>
      <c r="D115" s="63">
        <v>81.99</v>
      </c>
      <c r="E115" s="1">
        <v>25</v>
      </c>
      <c r="F115" s="81" t="s">
        <v>43</v>
      </c>
      <c r="H115" s="12">
        <v>7.5</v>
      </c>
      <c r="I115" s="1"/>
      <c r="J115" s="1">
        <v>7.4</v>
      </c>
      <c r="K115" s="1"/>
      <c r="L115" s="1"/>
      <c r="M115" s="1"/>
      <c r="N115" s="1">
        <v>7.1</v>
      </c>
      <c r="O115" s="1"/>
      <c r="P115" s="1"/>
      <c r="Q115" s="1">
        <v>8.5</v>
      </c>
      <c r="R115" s="1">
        <v>8</v>
      </c>
      <c r="S115" s="126">
        <f>IFERROR(AVERAGE(H115:R115),0)</f>
        <v>7.7</v>
      </c>
      <c r="T115" s="127">
        <f>IFERROR(D115/S115," ")</f>
        <v>10.648051948051947</v>
      </c>
      <c r="U115" s="133">
        <f>IFERROR(D115/E115," ")</f>
        <v>3.2795999999999998</v>
      </c>
      <c r="W115" s="28"/>
    </row>
    <row r="116" spans="1:23">
      <c r="A116" s="48"/>
      <c r="B116" s="12" t="s">
        <v>294</v>
      </c>
      <c r="C116" s="63" t="s">
        <v>295</v>
      </c>
      <c r="D116" s="63">
        <v>82.99</v>
      </c>
      <c r="E116" s="1">
        <v>22</v>
      </c>
      <c r="F116" s="81" t="s">
        <v>165</v>
      </c>
      <c r="H116" s="12">
        <v>7.5</v>
      </c>
      <c r="I116" s="1">
        <v>5.8</v>
      </c>
      <c r="J116" s="1">
        <v>6</v>
      </c>
      <c r="K116" s="1">
        <v>7</v>
      </c>
      <c r="L116" s="1"/>
      <c r="M116" s="1">
        <v>6.5</v>
      </c>
      <c r="N116" s="1"/>
      <c r="O116" s="1">
        <v>5</v>
      </c>
      <c r="P116" s="1"/>
      <c r="Q116" s="1">
        <v>6.5</v>
      </c>
      <c r="R116" s="1">
        <v>4</v>
      </c>
      <c r="S116" s="126">
        <f>IFERROR(AVERAGE(H116:R116),0)</f>
        <v>6.0374999999999996</v>
      </c>
      <c r="T116" s="127">
        <f>IFERROR(D116/S116," ")</f>
        <v>13.745755693581781</v>
      </c>
      <c r="U116" s="133">
        <f>IFERROR(D116/E116," ")</f>
        <v>3.772272727272727</v>
      </c>
      <c r="W116" s="28"/>
    </row>
    <row r="117" spans="1:23">
      <c r="A117" s="19"/>
      <c r="B117" s="12" t="s">
        <v>79</v>
      </c>
      <c r="C117" s="1" t="s">
        <v>80</v>
      </c>
      <c r="D117" s="63">
        <v>83</v>
      </c>
      <c r="E117" s="1">
        <v>22</v>
      </c>
      <c r="F117" s="81" t="s">
        <v>22</v>
      </c>
      <c r="H117" s="12">
        <v>7.5</v>
      </c>
      <c r="I117" s="1"/>
      <c r="J117" s="1">
        <v>7.25</v>
      </c>
      <c r="K117" s="1">
        <v>6.5</v>
      </c>
      <c r="L117" s="1"/>
      <c r="M117" s="1"/>
      <c r="N117" s="1">
        <v>6.66</v>
      </c>
      <c r="O117" s="1"/>
      <c r="P117" s="1"/>
      <c r="Q117" s="1">
        <v>6</v>
      </c>
      <c r="R117" s="1"/>
      <c r="S117" s="126">
        <f>IFERROR(AVERAGE(H117:R117),0)</f>
        <v>6.7819999999999991</v>
      </c>
      <c r="T117" s="127">
        <f>IFERROR(D117/S117," ")</f>
        <v>12.238277794161016</v>
      </c>
      <c r="U117" s="133">
        <f>IFERROR(D117/E117," ")</f>
        <v>3.7727272727272729</v>
      </c>
      <c r="W117" s="28"/>
    </row>
    <row r="118" spans="1:23">
      <c r="B118" s="12" t="s">
        <v>88</v>
      </c>
      <c r="C118" s="1" t="s">
        <v>49</v>
      </c>
      <c r="D118" s="63">
        <v>83</v>
      </c>
      <c r="E118" s="1">
        <v>22</v>
      </c>
      <c r="F118" s="81" t="s">
        <v>26</v>
      </c>
      <c r="H118" s="12">
        <v>7</v>
      </c>
      <c r="I118" s="1"/>
      <c r="J118" s="1">
        <v>7</v>
      </c>
      <c r="K118" s="1">
        <v>7</v>
      </c>
      <c r="L118" s="1"/>
      <c r="M118" s="1"/>
      <c r="N118" s="1">
        <v>7</v>
      </c>
      <c r="O118" s="1"/>
      <c r="P118" s="1"/>
      <c r="Q118" s="1">
        <v>6.5</v>
      </c>
      <c r="R118" s="1"/>
      <c r="S118" s="126">
        <f>IFERROR(AVERAGE(H118:R118),0)</f>
        <v>6.9</v>
      </c>
      <c r="T118" s="127">
        <f>IFERROR(D118/S118," ")</f>
        <v>12.028985507246377</v>
      </c>
      <c r="U118" s="133">
        <f>IFERROR(D118/E118," ")</f>
        <v>3.7727272727272729</v>
      </c>
      <c r="W118" s="28" t="s">
        <v>228</v>
      </c>
    </row>
    <row r="119" spans="1:23">
      <c r="A119" s="48"/>
      <c r="B119" s="12" t="s">
        <v>229</v>
      </c>
      <c r="C119" s="1" t="s">
        <v>21</v>
      </c>
      <c r="D119" s="63">
        <v>83</v>
      </c>
      <c r="E119" s="1">
        <v>24</v>
      </c>
      <c r="F119" s="81" t="s">
        <v>165</v>
      </c>
      <c r="H119" s="12">
        <v>8</v>
      </c>
      <c r="I119" s="1"/>
      <c r="J119" s="1">
        <v>8.5</v>
      </c>
      <c r="K119" s="1">
        <v>8.1999999999999993</v>
      </c>
      <c r="L119" s="1"/>
      <c r="M119" s="1">
        <v>8.1</v>
      </c>
      <c r="N119" s="1">
        <v>8.6999999999999993</v>
      </c>
      <c r="O119" s="1">
        <v>8</v>
      </c>
      <c r="P119" s="1"/>
      <c r="Q119" s="1">
        <v>8.1999999999999993</v>
      </c>
      <c r="R119" s="1"/>
      <c r="S119" s="126">
        <f>IFERROR(AVERAGE(H119:R119),0)</f>
        <v>8.2428571428571438</v>
      </c>
      <c r="T119" s="127">
        <f>IFERROR(D119/S119," ")</f>
        <v>10.069324090121317</v>
      </c>
      <c r="U119" s="133">
        <f>IFERROR(D119/E119," ")</f>
        <v>3.4583333333333335</v>
      </c>
      <c r="W119" s="28"/>
    </row>
    <row r="120" spans="1:23">
      <c r="A120" s="48"/>
      <c r="B120" s="12" t="s">
        <v>252</v>
      </c>
      <c r="C120" s="1" t="s">
        <v>253</v>
      </c>
      <c r="D120" s="63">
        <v>83.99</v>
      </c>
      <c r="E120" s="1">
        <v>22</v>
      </c>
      <c r="F120" s="81" t="s">
        <v>26</v>
      </c>
      <c r="H120" s="12">
        <v>7.6</v>
      </c>
      <c r="I120" s="1"/>
      <c r="J120" s="1"/>
      <c r="K120" s="1">
        <v>7.9</v>
      </c>
      <c r="L120" s="1"/>
      <c r="M120" s="1">
        <v>8.1</v>
      </c>
      <c r="N120" s="1">
        <v>8.9</v>
      </c>
      <c r="O120" s="1">
        <v>8</v>
      </c>
      <c r="P120" s="1">
        <v>8.3000000000000007</v>
      </c>
      <c r="Q120" s="1"/>
      <c r="R120" s="1"/>
      <c r="S120" s="126">
        <f>IFERROR(AVERAGE(H120:R120),0)</f>
        <v>8.1333333333333329</v>
      </c>
      <c r="T120" s="127">
        <f>IFERROR(D120/S120," ")</f>
        <v>10.326639344262295</v>
      </c>
      <c r="U120" s="133">
        <f>IFERROR(D120/E120," ")</f>
        <v>3.8177272727272724</v>
      </c>
      <c r="W120" s="28"/>
    </row>
    <row r="121" spans="1:23">
      <c r="A121" s="19"/>
      <c r="B121" s="12" t="s">
        <v>44</v>
      </c>
      <c r="C121" s="1" t="s">
        <v>45</v>
      </c>
      <c r="D121" s="63">
        <v>84</v>
      </c>
      <c r="E121" s="1">
        <v>25</v>
      </c>
      <c r="F121" s="81" t="s">
        <v>46</v>
      </c>
      <c r="H121" s="12">
        <v>4</v>
      </c>
      <c r="I121" s="1"/>
      <c r="J121" s="1">
        <v>4</v>
      </c>
      <c r="K121" s="1">
        <v>4</v>
      </c>
      <c r="L121" s="1"/>
      <c r="M121" s="1"/>
      <c r="N121" s="1">
        <v>4</v>
      </c>
      <c r="O121" s="1"/>
      <c r="P121" s="1"/>
      <c r="Q121" s="1">
        <v>5</v>
      </c>
      <c r="R121" s="1"/>
      <c r="S121" s="126">
        <f>IFERROR(AVERAGE(H121:R121),0)</f>
        <v>4.2</v>
      </c>
      <c r="T121" s="127">
        <f>IFERROR(D121/S121," ")</f>
        <v>20</v>
      </c>
      <c r="U121" s="133">
        <f>IFERROR(D121/E121," ")</f>
        <v>3.36</v>
      </c>
      <c r="W121" s="28"/>
    </row>
    <row r="122" spans="1:23">
      <c r="A122" s="19"/>
      <c r="B122" s="12" t="s">
        <v>75</v>
      </c>
      <c r="C122" s="1" t="s">
        <v>38</v>
      </c>
      <c r="D122" s="63">
        <v>84</v>
      </c>
      <c r="E122" s="1">
        <v>22</v>
      </c>
      <c r="F122" s="81" t="s">
        <v>14</v>
      </c>
      <c r="H122" s="12">
        <v>7</v>
      </c>
      <c r="I122" s="1"/>
      <c r="J122" s="1">
        <v>7</v>
      </c>
      <c r="K122" s="1">
        <v>6.5</v>
      </c>
      <c r="L122" s="1"/>
      <c r="M122" s="1"/>
      <c r="N122" s="1">
        <v>7.2640000000000002</v>
      </c>
      <c r="O122" s="1"/>
      <c r="P122" s="1"/>
      <c r="Q122" s="1">
        <v>7</v>
      </c>
      <c r="R122" s="1"/>
      <c r="S122" s="126">
        <f>IFERROR(AVERAGE(H122:R122),0)</f>
        <v>6.952799999999999</v>
      </c>
      <c r="T122" s="127">
        <f>IFERROR(D122/S122," ")</f>
        <v>12.081463583016916</v>
      </c>
      <c r="U122" s="133">
        <f>IFERROR(D122/E122," ")</f>
        <v>3.8181818181818183</v>
      </c>
      <c r="W122" s="28"/>
    </row>
    <row r="123" spans="1:23">
      <c r="A123" s="48"/>
      <c r="B123" s="12" t="s">
        <v>302</v>
      </c>
      <c r="C123" s="63" t="s">
        <v>260</v>
      </c>
      <c r="D123" s="63">
        <v>84.9</v>
      </c>
      <c r="E123" s="1">
        <v>24.4</v>
      </c>
      <c r="F123" s="81" t="s">
        <v>22</v>
      </c>
      <c r="H123" s="12"/>
      <c r="I123" s="1"/>
      <c r="J123" s="1">
        <v>7.1</v>
      </c>
      <c r="K123" s="1"/>
      <c r="L123" s="1"/>
      <c r="M123" s="1"/>
      <c r="N123" s="1">
        <v>7</v>
      </c>
      <c r="O123" s="1"/>
      <c r="P123" s="1"/>
      <c r="Q123" s="1"/>
      <c r="R123" s="1">
        <v>6.5</v>
      </c>
      <c r="S123" s="126">
        <f>IFERROR(AVERAGE(H123:R123),0)</f>
        <v>6.8666666666666671</v>
      </c>
      <c r="T123" s="127">
        <f>IFERROR(D123/S123," ")</f>
        <v>12.364077669902912</v>
      </c>
      <c r="U123" s="133">
        <f>IFERROR(D123/E123," ")</f>
        <v>3.4795081967213117</v>
      </c>
      <c r="W123" s="28"/>
    </row>
    <row r="124" spans="1:23" hidden="1">
      <c r="A124" s="48"/>
      <c r="B124" s="12" t="s">
        <v>146</v>
      </c>
      <c r="C124" s="1" t="s">
        <v>61</v>
      </c>
      <c r="D124" s="63">
        <v>84.99</v>
      </c>
      <c r="E124" s="1">
        <v>25.4</v>
      </c>
      <c r="F124" s="81" t="s">
        <v>26</v>
      </c>
      <c r="H124" s="12">
        <v>7.15</v>
      </c>
      <c r="I124" s="1"/>
      <c r="J124" s="1">
        <v>7</v>
      </c>
      <c r="K124" s="1">
        <v>7.4</v>
      </c>
      <c r="L124" s="1"/>
      <c r="M124" s="1">
        <v>7</v>
      </c>
      <c r="N124" s="1">
        <v>6.85</v>
      </c>
      <c r="O124" s="1"/>
      <c r="P124" s="1">
        <v>5.5</v>
      </c>
      <c r="Q124" s="1">
        <v>7</v>
      </c>
      <c r="R124" s="1"/>
      <c r="S124" s="126">
        <f>IFERROR(AVERAGE(H124:R124),0)</f>
        <v>6.8428571428571425</v>
      </c>
      <c r="T124" s="127">
        <f>IFERROR(D124/S124," ")</f>
        <v>12.420250521920668</v>
      </c>
      <c r="U124" s="133">
        <f>IFERROR(D124/E124," ")</f>
        <v>3.3460629921259843</v>
      </c>
      <c r="W124" s="28"/>
    </row>
    <row r="125" spans="1:23" ht="91.5" hidden="1">
      <c r="A125" s="19" t="s">
        <v>33</v>
      </c>
      <c r="B125" s="12" t="s">
        <v>34</v>
      </c>
      <c r="C125" s="1" t="s">
        <v>35</v>
      </c>
      <c r="D125" s="63">
        <v>85</v>
      </c>
      <c r="E125" s="1">
        <v>18</v>
      </c>
      <c r="F125" s="81" t="s">
        <v>36</v>
      </c>
      <c r="H125" s="12">
        <v>9</v>
      </c>
      <c r="I125" s="1"/>
      <c r="J125" s="1">
        <v>8</v>
      </c>
      <c r="K125" s="1">
        <v>9</v>
      </c>
      <c r="L125" s="1"/>
      <c r="M125" s="1"/>
      <c r="N125" s="1">
        <v>9</v>
      </c>
      <c r="O125" s="1"/>
      <c r="P125" s="1"/>
      <c r="Q125" s="1">
        <v>8</v>
      </c>
      <c r="R125" s="1"/>
      <c r="S125" s="126">
        <f>IFERROR(AVERAGE(H125:R125),0)</f>
        <v>8.6</v>
      </c>
      <c r="T125" s="127">
        <f>IFERROR(D125/S125," ")</f>
        <v>9.8837209302325579</v>
      </c>
      <c r="U125" s="133">
        <f>IFERROR(D125/E125," ")</f>
        <v>4.7222222222222223</v>
      </c>
      <c r="W125" s="28"/>
    </row>
    <row r="126" spans="1:23" hidden="1">
      <c r="A126" s="19"/>
      <c r="B126" s="12" t="s">
        <v>53</v>
      </c>
      <c r="C126" s="1" t="s">
        <v>54</v>
      </c>
      <c r="D126" s="63">
        <v>85</v>
      </c>
      <c r="E126" s="1">
        <v>23.7</v>
      </c>
      <c r="F126" s="81" t="s">
        <v>26</v>
      </c>
      <c r="H126" s="12"/>
      <c r="I126" s="1"/>
      <c r="J126" s="1">
        <v>6.25</v>
      </c>
      <c r="K126" s="1">
        <v>8</v>
      </c>
      <c r="L126" s="1"/>
      <c r="M126" s="1"/>
      <c r="N126" s="1">
        <v>7.9</v>
      </c>
      <c r="O126" s="1"/>
      <c r="P126" s="1"/>
      <c r="Q126" s="1">
        <v>6</v>
      </c>
      <c r="R126" s="1"/>
      <c r="S126" s="126">
        <f>IFERROR(AVERAGE(H126:R126),0)</f>
        <v>7.0374999999999996</v>
      </c>
      <c r="T126" s="127">
        <f>IFERROR(D126/S126," ")</f>
        <v>12.078152753108348</v>
      </c>
      <c r="U126" s="133">
        <f>IFERROR(D126/E126," ")</f>
        <v>3.5864978902953588</v>
      </c>
      <c r="W126" s="28"/>
    </row>
    <row r="127" spans="1:23">
      <c r="B127" s="12" t="s">
        <v>133</v>
      </c>
      <c r="C127" s="1" t="s">
        <v>134</v>
      </c>
      <c r="D127" s="63">
        <v>85</v>
      </c>
      <c r="E127" s="1">
        <v>24</v>
      </c>
      <c r="F127" s="81" t="s">
        <v>43</v>
      </c>
      <c r="H127" s="12">
        <v>7.5</v>
      </c>
      <c r="I127" s="1">
        <v>7.9</v>
      </c>
      <c r="J127" s="1">
        <v>7</v>
      </c>
      <c r="K127" s="1">
        <v>7.5</v>
      </c>
      <c r="L127" s="1"/>
      <c r="M127" s="1"/>
      <c r="N127" s="1">
        <v>7.85</v>
      </c>
      <c r="O127" s="1"/>
      <c r="P127" s="1"/>
      <c r="Q127" s="1">
        <v>7</v>
      </c>
      <c r="R127" s="1"/>
      <c r="S127" s="126">
        <f>IFERROR(AVERAGE(H127:R127),0)</f>
        <v>7.458333333333333</v>
      </c>
      <c r="T127" s="127">
        <f>IFERROR(D127/S127," ")</f>
        <v>11.396648044692737</v>
      </c>
      <c r="U127" s="133">
        <f>IFERROR(D127/E127," ")</f>
        <v>3.5416666666666665</v>
      </c>
      <c r="W127" s="28"/>
    </row>
    <row r="128" spans="1:23" hidden="1">
      <c r="A128" s="48"/>
      <c r="B128" s="12" t="s">
        <v>235</v>
      </c>
      <c r="C128" s="1" t="s">
        <v>236</v>
      </c>
      <c r="D128" s="63">
        <v>85</v>
      </c>
      <c r="E128" s="1">
        <v>7.4</v>
      </c>
      <c r="F128" s="81" t="s">
        <v>237</v>
      </c>
      <c r="H128" s="12"/>
      <c r="I128" s="1"/>
      <c r="J128" s="1"/>
      <c r="K128" s="1"/>
      <c r="L128" s="1"/>
      <c r="M128" s="1">
        <v>7.6</v>
      </c>
      <c r="N128" s="1">
        <v>8.5</v>
      </c>
      <c r="O128" s="1"/>
      <c r="P128" s="1"/>
      <c r="Q128" s="1"/>
      <c r="R128" s="1"/>
      <c r="S128" s="126">
        <f>IFERROR(AVERAGE(H128:R128),0)</f>
        <v>8.0500000000000007</v>
      </c>
      <c r="T128" s="127">
        <f>IFERROR(D128/S128," ")</f>
        <v>10.559006211180124</v>
      </c>
      <c r="U128" s="133">
        <f>IFERROR(D128/E128," ")</f>
        <v>11.486486486486486</v>
      </c>
      <c r="W128" s="28"/>
    </row>
    <row r="129" spans="1:23" hidden="1">
      <c r="A129" s="48"/>
      <c r="B129" s="12" t="s">
        <v>248</v>
      </c>
      <c r="C129" s="1" t="s">
        <v>35</v>
      </c>
      <c r="D129" s="63">
        <v>85</v>
      </c>
      <c r="E129" s="1">
        <v>22</v>
      </c>
      <c r="F129" s="81" t="s">
        <v>22</v>
      </c>
      <c r="H129" s="12"/>
      <c r="I129" s="1"/>
      <c r="J129" s="1">
        <v>7.6</v>
      </c>
      <c r="K129" s="1"/>
      <c r="L129" s="1"/>
      <c r="M129" s="1"/>
      <c r="N129" s="1"/>
      <c r="O129" s="1"/>
      <c r="P129" s="1"/>
      <c r="Q129" s="1"/>
      <c r="R129" s="1"/>
      <c r="S129" s="126">
        <f>IFERROR(AVERAGE(H129:R129),0)</f>
        <v>7.6</v>
      </c>
      <c r="T129" s="127">
        <f>IFERROR(D129/S129," ")</f>
        <v>11.184210526315789</v>
      </c>
      <c r="U129" s="133">
        <f>IFERROR(D129/E129," ")</f>
        <v>3.8636363636363638</v>
      </c>
      <c r="W129" s="28"/>
    </row>
    <row r="130" spans="1:23" hidden="1">
      <c r="A130" s="48"/>
      <c r="B130" s="12" t="s">
        <v>297</v>
      </c>
      <c r="C130" s="63" t="s">
        <v>298</v>
      </c>
      <c r="D130" s="63">
        <v>85</v>
      </c>
      <c r="E130" s="1">
        <v>24.3</v>
      </c>
      <c r="F130" s="81" t="s">
        <v>26</v>
      </c>
      <c r="H130" s="12">
        <v>7.5</v>
      </c>
      <c r="I130" s="1"/>
      <c r="J130" s="1">
        <v>6.2</v>
      </c>
      <c r="K130" s="1"/>
      <c r="L130" s="1"/>
      <c r="M130" s="1">
        <v>6.7</v>
      </c>
      <c r="N130" s="1">
        <v>7.98</v>
      </c>
      <c r="O130" s="1"/>
      <c r="P130" s="1"/>
      <c r="Q130" s="1">
        <v>7.5</v>
      </c>
      <c r="R130" s="1">
        <v>5</v>
      </c>
      <c r="S130" s="126">
        <f>IFERROR(AVERAGE(H130:R130),0)</f>
        <v>6.8133333333333326</v>
      </c>
      <c r="T130" s="127">
        <f>IFERROR(D130/S130," ")</f>
        <v>12.475538160469668</v>
      </c>
      <c r="U130" s="133">
        <f>IFERROR(D130/E130," ")</f>
        <v>3.4979423868312756</v>
      </c>
      <c r="W130" s="28"/>
    </row>
    <row r="131" spans="1:23">
      <c r="A131" s="48"/>
      <c r="B131" s="12" t="s">
        <v>207</v>
      </c>
      <c r="C131" s="1" t="s">
        <v>193</v>
      </c>
      <c r="D131" s="63">
        <v>85.99</v>
      </c>
      <c r="E131" s="1">
        <v>22</v>
      </c>
      <c r="F131" s="81" t="s">
        <v>26</v>
      </c>
      <c r="H131" s="12">
        <v>7</v>
      </c>
      <c r="I131" s="1"/>
      <c r="J131" s="1">
        <v>7.3</v>
      </c>
      <c r="K131" s="1">
        <v>6.9</v>
      </c>
      <c r="L131" s="1"/>
      <c r="M131" s="1">
        <v>7.1</v>
      </c>
      <c r="N131" s="1">
        <v>5.9</v>
      </c>
      <c r="O131" s="1">
        <v>6.5</v>
      </c>
      <c r="P131" s="1"/>
      <c r="Q131" s="1">
        <v>7</v>
      </c>
      <c r="R131" s="1"/>
      <c r="S131" s="126">
        <f>IFERROR(AVERAGE(H131:R131),0)</f>
        <v>6.8142857142857149</v>
      </c>
      <c r="T131" s="127">
        <f>IFERROR(D131/S131," ")</f>
        <v>12.61907756813417</v>
      </c>
      <c r="U131" s="133">
        <f>IFERROR(D131/E131," ")</f>
        <v>3.9086363636363632</v>
      </c>
      <c r="W131" s="28"/>
    </row>
    <row r="132" spans="1:23" hidden="1">
      <c r="A132" s="48"/>
      <c r="B132" s="12" t="s">
        <v>243</v>
      </c>
      <c r="C132" s="1" t="s">
        <v>54</v>
      </c>
      <c r="D132" s="63">
        <v>86.9</v>
      </c>
      <c r="E132" s="1">
        <v>22</v>
      </c>
      <c r="F132" s="81" t="s">
        <v>26</v>
      </c>
      <c r="H132" s="12">
        <v>7.5</v>
      </c>
      <c r="I132" s="1"/>
      <c r="J132" s="1"/>
      <c r="K132" s="1">
        <v>6.9</v>
      </c>
      <c r="L132" s="1"/>
      <c r="M132" s="1">
        <v>6.5</v>
      </c>
      <c r="N132" s="1"/>
      <c r="O132" s="1">
        <v>5</v>
      </c>
      <c r="P132" s="1">
        <v>6</v>
      </c>
      <c r="Q132" s="1">
        <v>6</v>
      </c>
      <c r="R132" s="1"/>
      <c r="S132" s="126">
        <f>IFERROR(AVERAGE(H132:R132),0)</f>
        <v>6.3166666666666664</v>
      </c>
      <c r="T132" s="127">
        <f>IFERROR(D132/S132," ")</f>
        <v>13.757255936675463</v>
      </c>
      <c r="U132" s="133">
        <f>IFERROR(D132/E132," ")</f>
        <v>3.95</v>
      </c>
      <c r="W132" s="28"/>
    </row>
    <row r="133" spans="1:23" hidden="1">
      <c r="A133" s="48"/>
      <c r="B133" s="12" t="s">
        <v>284</v>
      </c>
      <c r="C133" s="1" t="s">
        <v>285</v>
      </c>
      <c r="D133" s="63">
        <v>86.99</v>
      </c>
      <c r="E133" s="1">
        <v>22</v>
      </c>
      <c r="F133" s="81" t="s">
        <v>165</v>
      </c>
      <c r="H133" s="12"/>
      <c r="I133" s="1"/>
      <c r="J133" s="1"/>
      <c r="K133" s="1">
        <v>8</v>
      </c>
      <c r="L133" s="1"/>
      <c r="M133" s="1">
        <v>8.1</v>
      </c>
      <c r="N133" s="1">
        <v>8.9</v>
      </c>
      <c r="O133" s="1">
        <v>7</v>
      </c>
      <c r="P133" s="1"/>
      <c r="Q133" s="1">
        <v>7.5</v>
      </c>
      <c r="R133" s="1">
        <v>8.1999999999999993</v>
      </c>
      <c r="S133" s="126">
        <f>IFERROR(AVERAGE(H133:R133),0)</f>
        <v>7.95</v>
      </c>
      <c r="T133" s="127">
        <f>IFERROR(D133/S133," ")</f>
        <v>10.942138364779874</v>
      </c>
      <c r="U133" s="133">
        <f>IFERROR(D133/E133," ")</f>
        <v>3.9540909090909087</v>
      </c>
      <c r="W133" s="28"/>
    </row>
    <row r="134" spans="1:23">
      <c r="A134" s="48"/>
      <c r="B134" s="12" t="s">
        <v>363</v>
      </c>
      <c r="C134" s="1" t="s">
        <v>45</v>
      </c>
      <c r="D134" s="63">
        <v>88.99</v>
      </c>
      <c r="E134" s="1">
        <v>23</v>
      </c>
      <c r="F134" s="81" t="s">
        <v>14</v>
      </c>
      <c r="H134" s="12">
        <v>8.6999999999999993</v>
      </c>
      <c r="I134" s="1"/>
      <c r="J134" s="1">
        <v>8.5</v>
      </c>
      <c r="K134" s="1">
        <v>8.3000000000000007</v>
      </c>
      <c r="L134" s="1">
        <v>8.5</v>
      </c>
      <c r="M134" s="1">
        <v>8.8000000000000007</v>
      </c>
      <c r="N134" s="1">
        <v>9</v>
      </c>
      <c r="O134" s="1"/>
      <c r="P134" s="1"/>
      <c r="Q134" s="1">
        <v>8.8000000000000007</v>
      </c>
      <c r="R134" s="1"/>
      <c r="S134" s="126">
        <f>IFERROR(AVERAGE(H134:R134),0)</f>
        <v>8.6571428571428566</v>
      </c>
      <c r="T134" s="127">
        <f>IFERROR(D134/S134," ")</f>
        <v>10.279372937293729</v>
      </c>
      <c r="U134" s="133">
        <f>IFERROR(D134/E134," ")</f>
        <v>3.8691304347826083</v>
      </c>
      <c r="W134" s="28"/>
    </row>
    <row r="135" spans="1:23">
      <c r="A135" s="48"/>
      <c r="B135" s="12" t="s">
        <v>273</v>
      </c>
      <c r="C135" s="1" t="s">
        <v>49</v>
      </c>
      <c r="D135" s="63">
        <v>88.99</v>
      </c>
      <c r="E135" s="1">
        <v>27.7</v>
      </c>
      <c r="F135" s="187" t="s">
        <v>90</v>
      </c>
      <c r="H135" s="12">
        <v>7.5</v>
      </c>
      <c r="I135" s="1"/>
      <c r="J135" s="1">
        <v>5.5</v>
      </c>
      <c r="K135" s="1">
        <v>7.2</v>
      </c>
      <c r="L135" s="1"/>
      <c r="M135" s="1">
        <v>7.4</v>
      </c>
      <c r="N135" s="1">
        <v>7.9</v>
      </c>
      <c r="O135" s="1">
        <v>7</v>
      </c>
      <c r="P135" s="1"/>
      <c r="Q135" s="1">
        <v>7.4</v>
      </c>
      <c r="R135" s="1">
        <v>4</v>
      </c>
      <c r="S135" s="126">
        <f>IFERROR(AVERAGE(H135:R135),0)</f>
        <v>6.7374999999999998</v>
      </c>
      <c r="T135" s="127">
        <f>IFERROR(D135/S135," ")</f>
        <v>13.208163265306123</v>
      </c>
      <c r="U135" s="133">
        <f>IFERROR(D135/E135," ")</f>
        <v>3.2126353790613718</v>
      </c>
      <c r="W135" s="28"/>
    </row>
    <row r="136" spans="1:23" hidden="1">
      <c r="A136" s="48"/>
      <c r="B136" s="12" t="s">
        <v>257</v>
      </c>
      <c r="C136" s="1" t="s">
        <v>274</v>
      </c>
      <c r="D136" s="63">
        <v>89</v>
      </c>
      <c r="E136" s="1">
        <v>22</v>
      </c>
      <c r="F136" s="81" t="s">
        <v>26</v>
      </c>
      <c r="H136" s="12"/>
      <c r="I136" s="1"/>
      <c r="J136" s="1">
        <v>6.5</v>
      </c>
      <c r="K136" s="1">
        <v>7.6</v>
      </c>
      <c r="L136" s="1"/>
      <c r="M136" s="1"/>
      <c r="N136" s="1">
        <v>7.9779999999999998</v>
      </c>
      <c r="O136" s="1"/>
      <c r="P136" s="1">
        <v>7.5</v>
      </c>
      <c r="Q136" s="1"/>
      <c r="R136" s="1">
        <v>6</v>
      </c>
      <c r="S136" s="126">
        <f>IFERROR(AVERAGE(H136:R136),0)</f>
        <v>7.1156000000000006</v>
      </c>
      <c r="T136" s="127">
        <f>IFERROR(D136/S136," ")</f>
        <v>12.507729495755804</v>
      </c>
      <c r="U136" s="133">
        <f>IFERROR(D136/E136," ")</f>
        <v>4.0454545454545459</v>
      </c>
      <c r="W136" s="28"/>
    </row>
    <row r="137" spans="1:23">
      <c r="A137" s="48"/>
      <c r="B137" s="12" t="s">
        <v>310</v>
      </c>
      <c r="C137" s="63" t="s">
        <v>311</v>
      </c>
      <c r="D137" s="63">
        <v>89</v>
      </c>
      <c r="E137" s="1">
        <v>27</v>
      </c>
      <c r="F137" s="81" t="s">
        <v>22</v>
      </c>
      <c r="H137" s="12"/>
      <c r="I137" s="1"/>
      <c r="J137" s="1">
        <v>8.8000000000000007</v>
      </c>
      <c r="K137" s="1"/>
      <c r="L137" s="1"/>
      <c r="M137" s="1"/>
      <c r="N137" s="1">
        <v>8.9</v>
      </c>
      <c r="O137" s="1"/>
      <c r="P137" s="1"/>
      <c r="Q137" s="1"/>
      <c r="R137" s="1"/>
      <c r="S137" s="126">
        <f>IFERROR(AVERAGE(H137:R137),0)</f>
        <v>8.8500000000000014</v>
      </c>
      <c r="T137" s="127">
        <f>IFERROR(D137/S137," ")</f>
        <v>10.056497175141242</v>
      </c>
      <c r="U137" s="133">
        <f>IFERROR(D137/E137," ")</f>
        <v>3.2962962962962963</v>
      </c>
      <c r="W137" s="28"/>
    </row>
    <row r="138" spans="1:23">
      <c r="A138" s="161"/>
      <c r="B138" s="162" t="s">
        <v>148</v>
      </c>
      <c r="C138" s="1" t="s">
        <v>38</v>
      </c>
      <c r="D138" s="63">
        <v>89.99</v>
      </c>
      <c r="E138" s="1">
        <v>26</v>
      </c>
      <c r="F138" s="81" t="s">
        <v>14</v>
      </c>
      <c r="H138" s="12">
        <v>8.25</v>
      </c>
      <c r="I138" s="1"/>
      <c r="J138" s="1">
        <v>8.5</v>
      </c>
      <c r="K138" s="1">
        <v>8.1999999999999993</v>
      </c>
      <c r="L138" s="1">
        <v>8</v>
      </c>
      <c r="M138" s="1"/>
      <c r="N138" s="1">
        <v>8.3000000000000007</v>
      </c>
      <c r="O138" s="1"/>
      <c r="P138" s="1"/>
      <c r="Q138" s="1">
        <v>8.5</v>
      </c>
      <c r="R138" s="1"/>
      <c r="S138" s="126">
        <f>IFERROR(AVERAGE(H138:R138),0)</f>
        <v>8.2916666666666661</v>
      </c>
      <c r="T138" s="127">
        <f>IFERROR(D138/S138," ")</f>
        <v>10.853065326633166</v>
      </c>
      <c r="U138" s="133">
        <f>IFERROR(D138/E138," ")</f>
        <v>3.461153846153846</v>
      </c>
      <c r="W138" s="99" t="s">
        <v>258</v>
      </c>
    </row>
    <row r="139" spans="1:23">
      <c r="A139" s="161"/>
      <c r="B139" s="162" t="s">
        <v>364</v>
      </c>
      <c r="C139" s="1" t="s">
        <v>234</v>
      </c>
      <c r="D139" s="63">
        <v>89.99</v>
      </c>
      <c r="E139" s="1">
        <v>23</v>
      </c>
      <c r="F139" s="81" t="s">
        <v>28</v>
      </c>
      <c r="H139" s="12">
        <v>8.6999999999999993</v>
      </c>
      <c r="I139" s="1">
        <v>9</v>
      </c>
      <c r="J139" s="1">
        <v>8</v>
      </c>
      <c r="K139" s="1">
        <v>8.1</v>
      </c>
      <c r="L139" s="1"/>
      <c r="M139" s="1">
        <v>9</v>
      </c>
      <c r="N139" s="1">
        <v>9</v>
      </c>
      <c r="O139" s="1"/>
      <c r="P139" s="1"/>
      <c r="Q139" s="1">
        <v>9</v>
      </c>
      <c r="R139" s="1"/>
      <c r="S139" s="126">
        <f>IFERROR(AVERAGE(H139:R139),0)</f>
        <v>8.6857142857142851</v>
      </c>
      <c r="T139" s="127">
        <f>IFERROR(D139/S139," ")</f>
        <v>10.360690789473685</v>
      </c>
      <c r="U139" s="133">
        <f>IFERROR(D139/E139," ")</f>
        <v>3.9126086956521737</v>
      </c>
      <c r="W139" s="99" t="s">
        <v>258</v>
      </c>
    </row>
    <row r="140" spans="1:23">
      <c r="A140" s="161"/>
      <c r="B140" s="162" t="s">
        <v>314</v>
      </c>
      <c r="C140" s="63" t="s">
        <v>240</v>
      </c>
      <c r="D140" s="63">
        <v>89.99</v>
      </c>
      <c r="E140" s="1">
        <v>22</v>
      </c>
      <c r="F140" s="81" t="s">
        <v>26</v>
      </c>
      <c r="H140" s="12">
        <v>7.5</v>
      </c>
      <c r="I140" s="1"/>
      <c r="J140" s="1">
        <v>6</v>
      </c>
      <c r="K140" s="1"/>
      <c r="L140" s="1"/>
      <c r="M140" s="1">
        <v>7.4</v>
      </c>
      <c r="N140" s="1">
        <v>8.6999999999999993</v>
      </c>
      <c r="O140" s="1"/>
      <c r="P140" s="1"/>
      <c r="Q140" s="1"/>
      <c r="R140" s="1"/>
      <c r="S140" s="126">
        <f>IFERROR(AVERAGE(H140:R140),0)</f>
        <v>7.3999999999999995</v>
      </c>
      <c r="T140" s="127">
        <f>IFERROR(D140/S140," ")</f>
        <v>12.16081081081081</v>
      </c>
      <c r="U140" s="133">
        <f>IFERROR(D140/E140," ")</f>
        <v>4.0904545454545449</v>
      </c>
      <c r="W140" s="99" t="s">
        <v>258</v>
      </c>
    </row>
    <row r="141" spans="1:23">
      <c r="A141" s="162"/>
      <c r="B141" s="162" t="s">
        <v>135</v>
      </c>
      <c r="C141" s="1" t="s">
        <v>49</v>
      </c>
      <c r="D141" s="63">
        <v>91</v>
      </c>
      <c r="E141" s="1">
        <v>26</v>
      </c>
      <c r="F141" s="86" t="s">
        <v>22</v>
      </c>
      <c r="H141" s="12">
        <v>8.25</v>
      </c>
      <c r="I141" s="1"/>
      <c r="J141" s="1">
        <v>8.75</v>
      </c>
      <c r="K141" s="1">
        <v>7.9</v>
      </c>
      <c r="L141" s="1"/>
      <c r="M141" s="1"/>
      <c r="N141" s="1">
        <v>7.8</v>
      </c>
      <c r="O141" s="1"/>
      <c r="P141" s="1"/>
      <c r="Q141" s="1">
        <v>7.5</v>
      </c>
      <c r="R141" s="1"/>
      <c r="S141" s="126">
        <f>IFERROR(AVERAGE(H141:R141),0)</f>
        <v>8.0399999999999991</v>
      </c>
      <c r="T141" s="127">
        <f>IFERROR(D141/S141," ")</f>
        <v>11.318407960199005</v>
      </c>
      <c r="U141" s="133">
        <f>IFERROR(D141/E141," ")</f>
        <v>3.5</v>
      </c>
      <c r="W141" s="99" t="s">
        <v>258</v>
      </c>
    </row>
    <row r="142" spans="1:23">
      <c r="A142" s="162"/>
      <c r="B142" s="162" t="s">
        <v>130</v>
      </c>
      <c r="C142" s="1" t="s">
        <v>49</v>
      </c>
      <c r="D142" s="63">
        <v>91.99</v>
      </c>
      <c r="E142" s="1">
        <v>24</v>
      </c>
      <c r="F142" s="81" t="s">
        <v>26</v>
      </c>
      <c r="H142" s="12">
        <v>6.75</v>
      </c>
      <c r="I142" s="1">
        <v>7.25</v>
      </c>
      <c r="J142" s="1">
        <v>6.75</v>
      </c>
      <c r="K142" s="1">
        <v>7.1</v>
      </c>
      <c r="L142" s="1"/>
      <c r="M142" s="1"/>
      <c r="N142" s="1">
        <v>7.5</v>
      </c>
      <c r="O142" s="1"/>
      <c r="P142" s="1"/>
      <c r="Q142" s="1">
        <v>7</v>
      </c>
      <c r="R142" s="1"/>
      <c r="S142" s="126">
        <f>IFERROR(AVERAGE(H142:R142),0)</f>
        <v>7.0583333333333336</v>
      </c>
      <c r="T142" s="127">
        <f>IFERROR(D142/S142," ")</f>
        <v>13.032821723730814</v>
      </c>
      <c r="U142" s="133">
        <f>IFERROR(D142/E142," ")</f>
        <v>3.8329166666666663</v>
      </c>
      <c r="W142" s="99" t="s">
        <v>265</v>
      </c>
    </row>
    <row r="143" spans="1:23">
      <c r="A143" s="161"/>
      <c r="B143" s="162" t="s">
        <v>162</v>
      </c>
      <c r="C143" s="1" t="s">
        <v>38</v>
      </c>
      <c r="D143" s="63">
        <v>94.99</v>
      </c>
      <c r="E143" s="1">
        <v>22</v>
      </c>
      <c r="F143" s="81" t="s">
        <v>163</v>
      </c>
      <c r="H143" s="12">
        <v>7.1</v>
      </c>
      <c r="I143" s="1"/>
      <c r="J143" s="1">
        <v>6.85</v>
      </c>
      <c r="K143" s="1">
        <v>7.2</v>
      </c>
      <c r="L143" s="1">
        <v>7.6</v>
      </c>
      <c r="M143" s="1">
        <v>6.9</v>
      </c>
      <c r="N143" s="1">
        <v>8</v>
      </c>
      <c r="O143" s="1"/>
      <c r="P143" s="1">
        <v>7.3</v>
      </c>
      <c r="Q143" s="1">
        <v>8.5</v>
      </c>
      <c r="R143" s="1"/>
      <c r="S143" s="126">
        <f>IFERROR(AVERAGE(H143:R143),0)</f>
        <v>7.4312499999999995</v>
      </c>
      <c r="T143" s="127">
        <f>IFERROR(D143/S143," ")</f>
        <v>12.782506307821698</v>
      </c>
      <c r="U143" s="133">
        <f>IFERROR(D143/E143," ")</f>
        <v>4.3177272727272724</v>
      </c>
      <c r="W143" s="99" t="s">
        <v>258</v>
      </c>
    </row>
    <row r="144" spans="1:23">
      <c r="A144" s="48"/>
      <c r="B144" s="12" t="s">
        <v>152</v>
      </c>
      <c r="C144" s="1" t="s">
        <v>51</v>
      </c>
      <c r="D144" s="63">
        <v>95.99</v>
      </c>
      <c r="E144" s="1">
        <v>23.7</v>
      </c>
      <c r="F144" s="86" t="s">
        <v>22</v>
      </c>
      <c r="H144" s="12">
        <v>6.85</v>
      </c>
      <c r="I144" s="1"/>
      <c r="J144" s="1">
        <v>6.5</v>
      </c>
      <c r="K144" s="1">
        <v>6.7</v>
      </c>
      <c r="L144" s="1">
        <v>6.5</v>
      </c>
      <c r="M144" s="1"/>
      <c r="N144" s="1">
        <v>7.8</v>
      </c>
      <c r="O144" s="1"/>
      <c r="P144" s="1"/>
      <c r="Q144" s="1"/>
      <c r="R144" s="1"/>
      <c r="S144" s="126">
        <f>IFERROR(AVERAGE(H144:R144),0)</f>
        <v>6.87</v>
      </c>
      <c r="T144" s="127">
        <f>IFERROR(D144/S144," ")</f>
        <v>13.972343522561863</v>
      </c>
      <c r="U144" s="133">
        <f>IFERROR(D144/E144," ")</f>
        <v>4.0502109704641347</v>
      </c>
      <c r="W144" s="28"/>
    </row>
    <row r="145" spans="1:23" hidden="1">
      <c r="B145" s="12" t="s">
        <v>119</v>
      </c>
      <c r="C145" s="1" t="s">
        <v>120</v>
      </c>
      <c r="D145" s="63">
        <v>96</v>
      </c>
      <c r="E145" s="1">
        <v>15</v>
      </c>
      <c r="F145" s="81" t="s">
        <v>26</v>
      </c>
      <c r="H145" s="12">
        <v>5.3</v>
      </c>
      <c r="I145" s="1">
        <v>3</v>
      </c>
      <c r="J145" s="1">
        <v>5.5</v>
      </c>
      <c r="K145" s="1">
        <v>5.4</v>
      </c>
      <c r="L145" s="1"/>
      <c r="M145" s="1"/>
      <c r="N145" s="1">
        <v>5.8</v>
      </c>
      <c r="O145" s="1"/>
      <c r="P145" s="1"/>
      <c r="Q145" s="1">
        <v>3</v>
      </c>
      <c r="R145" s="1"/>
      <c r="S145" s="126">
        <f>IFERROR(AVERAGE(H145:R145),0)</f>
        <v>4.666666666666667</v>
      </c>
      <c r="T145" s="127">
        <f>IFERROR(D145/S145," ")</f>
        <v>20.571428571428569</v>
      </c>
      <c r="U145" s="133">
        <f>IFERROR(D145/E145," ")</f>
        <v>6.4</v>
      </c>
      <c r="W145" s="28" t="s">
        <v>270</v>
      </c>
    </row>
    <row r="146" spans="1:23">
      <c r="B146" s="12" t="s">
        <v>131</v>
      </c>
      <c r="C146" s="1" t="s">
        <v>38</v>
      </c>
      <c r="D146" s="63">
        <v>96.99</v>
      </c>
      <c r="E146" s="1">
        <v>22</v>
      </c>
      <c r="F146" s="81" t="s">
        <v>90</v>
      </c>
      <c r="H146" s="136"/>
      <c r="I146" s="128">
        <v>6.5</v>
      </c>
      <c r="J146" s="103">
        <v>7.5</v>
      </c>
      <c r="K146" s="103">
        <v>7.8</v>
      </c>
      <c r="L146" s="103"/>
      <c r="M146" s="103">
        <v>6.8</v>
      </c>
      <c r="N146" s="103">
        <v>6.98</v>
      </c>
      <c r="O146" s="103"/>
      <c r="P146" s="103"/>
      <c r="Q146" s="103"/>
      <c r="R146" s="103"/>
      <c r="S146" s="126">
        <f>IFERROR(AVERAGE(H146:R146),0)</f>
        <v>7.1159999999999997</v>
      </c>
      <c r="T146" s="127">
        <f>IFERROR(D146/S146," ")</f>
        <v>13.629848229342327</v>
      </c>
      <c r="U146" s="133">
        <f>IFERROR(D146/E146," ")</f>
        <v>4.4086363636363632</v>
      </c>
      <c r="W146" s="28"/>
    </row>
    <row r="147" spans="1:23">
      <c r="B147" s="12" t="s">
        <v>20</v>
      </c>
      <c r="C147" s="1" t="s">
        <v>21</v>
      </c>
      <c r="D147" s="63">
        <v>99</v>
      </c>
      <c r="E147" s="1">
        <v>24</v>
      </c>
      <c r="F147" s="81" t="s">
        <v>22</v>
      </c>
      <c r="H147" s="12">
        <v>9</v>
      </c>
      <c r="I147" s="1"/>
      <c r="J147" s="1">
        <v>9</v>
      </c>
      <c r="K147" s="1">
        <v>8</v>
      </c>
      <c r="L147" s="1"/>
      <c r="M147" s="1"/>
      <c r="N147" s="1">
        <v>8.5</v>
      </c>
      <c r="O147" s="1"/>
      <c r="P147" s="1"/>
      <c r="Q147" s="1"/>
      <c r="R147" s="1"/>
      <c r="S147" s="126">
        <f>IFERROR(AVERAGE(H147:R147)," ")</f>
        <v>8.625</v>
      </c>
      <c r="T147" s="127">
        <f>IFERROR(D147/S147," ")</f>
        <v>11.478260869565217</v>
      </c>
      <c r="U147" s="133">
        <f>IFERROR(D147/E147," ")</f>
        <v>4.125</v>
      </c>
      <c r="W147" s="28"/>
    </row>
    <row r="148" spans="1:23">
      <c r="B148" s="134" t="s">
        <v>103</v>
      </c>
      <c r="C148" s="42" t="s">
        <v>21</v>
      </c>
      <c r="D148" s="66">
        <v>99</v>
      </c>
      <c r="E148" s="42">
        <v>24</v>
      </c>
      <c r="F148" s="85" t="s">
        <v>22</v>
      </c>
      <c r="G148" s="124"/>
      <c r="H148" s="134">
        <v>9</v>
      </c>
      <c r="I148" s="42"/>
      <c r="J148" s="42">
        <v>9</v>
      </c>
      <c r="K148" s="42">
        <v>9</v>
      </c>
      <c r="L148" s="42"/>
      <c r="M148" s="42"/>
      <c r="N148" s="42"/>
      <c r="O148" s="42"/>
      <c r="P148" s="42"/>
      <c r="Q148" s="42"/>
      <c r="R148" s="42"/>
      <c r="S148" s="126">
        <f>IFERROR(AVERAGE(H148:R148),0)</f>
        <v>9</v>
      </c>
      <c r="T148" s="127">
        <f>IFERROR(D148/S148," ")</f>
        <v>11</v>
      </c>
      <c r="U148" s="133">
        <f>IFERROR(D148/E148," ")</f>
        <v>4.125</v>
      </c>
      <c r="W148" s="28"/>
    </row>
    <row r="149" spans="1:23">
      <c r="A149" s="48"/>
      <c r="B149" s="165" t="s">
        <v>308</v>
      </c>
      <c r="C149" s="63" t="s">
        <v>260</v>
      </c>
      <c r="D149" s="63">
        <v>99</v>
      </c>
      <c r="E149" s="1">
        <v>24</v>
      </c>
      <c r="F149" s="187" t="s">
        <v>90</v>
      </c>
      <c r="H149" s="12"/>
      <c r="I149" s="1"/>
      <c r="J149" s="1"/>
      <c r="K149" s="1"/>
      <c r="L149" s="1"/>
      <c r="M149" s="1"/>
      <c r="N149" s="1">
        <v>8.9</v>
      </c>
      <c r="O149" s="1"/>
      <c r="P149" s="1"/>
      <c r="Q149" s="1"/>
      <c r="R149" s="1">
        <v>9</v>
      </c>
      <c r="S149" s="126">
        <f>IFERROR(AVERAGE(H149:R149),0)</f>
        <v>8.9499999999999993</v>
      </c>
      <c r="T149" s="127">
        <f>IFERROR(D149/S149," ")</f>
        <v>11.061452513966481</v>
      </c>
      <c r="U149" s="133">
        <f>IFERROR(D149/E149," ")</f>
        <v>4.125</v>
      </c>
      <c r="W149" s="28"/>
    </row>
    <row r="150" spans="1:23">
      <c r="B150" s="12" t="s">
        <v>87</v>
      </c>
      <c r="C150" s="1" t="s">
        <v>49</v>
      </c>
      <c r="D150" s="63">
        <v>99.99</v>
      </c>
      <c r="E150" s="1">
        <v>25.4</v>
      </c>
      <c r="F150" s="81" t="s">
        <v>22</v>
      </c>
      <c r="H150" s="12"/>
      <c r="I150" s="1"/>
      <c r="J150" s="1">
        <v>7.5</v>
      </c>
      <c r="K150" s="1">
        <v>8.3000000000000007</v>
      </c>
      <c r="L150" s="1"/>
      <c r="M150" s="1"/>
      <c r="N150" s="1">
        <v>8.843</v>
      </c>
      <c r="O150" s="1"/>
      <c r="P150" s="1"/>
      <c r="Q150" s="1">
        <v>7</v>
      </c>
      <c r="R150" s="1"/>
      <c r="S150" s="126">
        <f>IFERROR(AVERAGE(H150:R150),0)</f>
        <v>7.9107500000000002</v>
      </c>
      <c r="T150" s="127">
        <f>IFERROR(D150/S150," ")</f>
        <v>12.639762348702714</v>
      </c>
      <c r="U150" s="133">
        <f>IFERROR(D150/E150," ")</f>
        <v>3.9366141732283464</v>
      </c>
      <c r="W150" s="28"/>
    </row>
    <row r="151" spans="1:23">
      <c r="A151" s="48"/>
      <c r="B151" s="12" t="s">
        <v>241</v>
      </c>
      <c r="C151" s="1" t="s">
        <v>242</v>
      </c>
      <c r="D151" s="63">
        <v>99.99</v>
      </c>
      <c r="E151" s="1">
        <v>24.9</v>
      </c>
      <c r="F151" s="81" t="s">
        <v>36</v>
      </c>
      <c r="H151" s="12">
        <v>7.5</v>
      </c>
      <c r="I151" s="1"/>
      <c r="J151" s="1">
        <v>8.1999999999999993</v>
      </c>
      <c r="K151" s="1">
        <v>7.4</v>
      </c>
      <c r="L151" s="1"/>
      <c r="M151" s="1">
        <v>8.3000000000000007</v>
      </c>
      <c r="N151" s="1"/>
      <c r="O151" s="1">
        <v>9</v>
      </c>
      <c r="P151" s="1"/>
      <c r="Q151" s="1">
        <v>8.4</v>
      </c>
      <c r="R151" s="1"/>
      <c r="S151" s="126">
        <f>IFERROR(AVERAGE(H151:R151),0)</f>
        <v>8.1333333333333346</v>
      </c>
      <c r="T151" s="127">
        <f>IFERROR(D151/S151," ")</f>
        <v>12.29385245901639</v>
      </c>
      <c r="U151" s="133">
        <f>IFERROR(D151/E151," ")</f>
        <v>4.01566265060241</v>
      </c>
      <c r="W151" s="28"/>
    </row>
    <row r="152" spans="1:23">
      <c r="A152" s="48"/>
      <c r="B152" s="12" t="s">
        <v>153</v>
      </c>
      <c r="C152" s="1" t="s">
        <v>51</v>
      </c>
      <c r="D152" s="63">
        <v>101.99</v>
      </c>
      <c r="E152" s="1">
        <v>22</v>
      </c>
      <c r="F152" s="81" t="s">
        <v>36</v>
      </c>
      <c r="H152" s="12"/>
      <c r="I152" s="1"/>
      <c r="J152" s="1">
        <v>8.5</v>
      </c>
      <c r="K152" s="1"/>
      <c r="L152" s="1"/>
      <c r="M152" s="1">
        <v>8.1999999999999993</v>
      </c>
      <c r="N152" s="1">
        <v>8.3699999999999992</v>
      </c>
      <c r="O152" s="1"/>
      <c r="P152" s="1"/>
      <c r="Q152" s="1">
        <v>8.5</v>
      </c>
      <c r="R152" s="1"/>
      <c r="S152" s="126">
        <f>IFERROR(AVERAGE(H152:R152),0)</f>
        <v>8.3925000000000001</v>
      </c>
      <c r="T152" s="127">
        <f>IFERROR(D151/S152," ")</f>
        <v>11.914209115281501</v>
      </c>
      <c r="U152" s="133">
        <f>IFERROR(D151/E151," ")</f>
        <v>4.01566265060241</v>
      </c>
      <c r="W152" s="28"/>
    </row>
    <row r="153" spans="1:23" hidden="1">
      <c r="B153" s="12" t="s">
        <v>136</v>
      </c>
      <c r="C153" s="1" t="s">
        <v>137</v>
      </c>
      <c r="D153" s="63">
        <v>103</v>
      </c>
      <c r="E153" s="1">
        <v>24</v>
      </c>
      <c r="F153" s="81" t="s">
        <v>36</v>
      </c>
      <c r="H153" s="12">
        <v>7</v>
      </c>
      <c r="I153" s="1"/>
      <c r="J153" s="1">
        <v>6.5</v>
      </c>
      <c r="K153" s="1">
        <v>7.2</v>
      </c>
      <c r="L153" s="1"/>
      <c r="M153" s="1">
        <v>7.5</v>
      </c>
      <c r="N153" s="1">
        <v>6.6</v>
      </c>
      <c r="O153" s="1"/>
      <c r="P153" s="1"/>
      <c r="Q153" s="1">
        <v>7.5</v>
      </c>
      <c r="R153" s="1"/>
      <c r="S153" s="126">
        <f>IFERROR(AVERAGE(H153:R153),0)</f>
        <v>7.05</v>
      </c>
      <c r="T153" s="127">
        <f>IFERROR(D153/S153," ")</f>
        <v>14.609929078014185</v>
      </c>
      <c r="U153" s="133">
        <f>IFERROR(D153/E153," ")</f>
        <v>4.291666666666667</v>
      </c>
      <c r="W153" s="28"/>
    </row>
    <row r="154" spans="1:23">
      <c r="A154" s="48"/>
      <c r="B154" s="12" t="s">
        <v>192</v>
      </c>
      <c r="C154" s="1" t="s">
        <v>193</v>
      </c>
      <c r="D154" s="64">
        <v>105</v>
      </c>
      <c r="E154" s="1">
        <v>22.1</v>
      </c>
      <c r="F154" s="81" t="s">
        <v>28</v>
      </c>
      <c r="H154" s="12">
        <v>6.8</v>
      </c>
      <c r="I154" s="1">
        <v>6.9</v>
      </c>
      <c r="J154" s="1">
        <v>6.1</v>
      </c>
      <c r="K154" s="1">
        <v>7.4</v>
      </c>
      <c r="L154" s="1"/>
      <c r="M154" s="1">
        <v>6.8</v>
      </c>
      <c r="N154" s="1"/>
      <c r="O154" s="1"/>
      <c r="P154" s="1">
        <v>7.9</v>
      </c>
      <c r="Q154" s="1">
        <v>7</v>
      </c>
      <c r="R154" s="1"/>
      <c r="S154" s="126">
        <f>IFERROR(AVERAGE(H154:R154),0)</f>
        <v>6.9857142857142849</v>
      </c>
      <c r="T154" s="127">
        <f>IFERROR(D154/S154," ")</f>
        <v>15.030674846625768</v>
      </c>
      <c r="U154" s="133">
        <f>IFERROR(D154/E154," ")</f>
        <v>4.751131221719457</v>
      </c>
      <c r="W154" s="28"/>
    </row>
    <row r="155" spans="1:23">
      <c r="B155" s="12" t="s">
        <v>144</v>
      </c>
      <c r="C155" s="4" t="s">
        <v>21</v>
      </c>
      <c r="D155" s="63">
        <v>105.99</v>
      </c>
      <c r="E155" s="34">
        <v>20</v>
      </c>
      <c r="F155" s="81" t="s">
        <v>36</v>
      </c>
      <c r="H155" s="12">
        <v>7</v>
      </c>
      <c r="I155" s="1">
        <v>6.5</v>
      </c>
      <c r="J155" s="1">
        <v>6.75</v>
      </c>
      <c r="K155" s="1">
        <v>7.9</v>
      </c>
      <c r="L155" s="1"/>
      <c r="M155" s="1">
        <v>7.9</v>
      </c>
      <c r="N155" s="1">
        <v>8.3000000000000007</v>
      </c>
      <c r="O155" s="1"/>
      <c r="P155" s="1"/>
      <c r="Q155" s="1">
        <v>7</v>
      </c>
      <c r="R155" s="1"/>
      <c r="S155" s="126">
        <f>IFERROR(AVERAGE(H155:R155),0)</f>
        <v>7.3357142857142845</v>
      </c>
      <c r="T155" s="127">
        <f>IFERROR(D155/S155," ")</f>
        <v>14.448490749756575</v>
      </c>
      <c r="U155" s="133">
        <f>IFERROR(D155/E155," ")</f>
        <v>5.2995000000000001</v>
      </c>
      <c r="W155" s="28"/>
    </row>
    <row r="156" spans="1:23">
      <c r="B156" s="12" t="s">
        <v>81</v>
      </c>
      <c r="C156" s="4" t="s">
        <v>38</v>
      </c>
      <c r="D156" s="63">
        <v>106</v>
      </c>
      <c r="E156" s="34">
        <v>22</v>
      </c>
      <c r="F156" s="81" t="s">
        <v>26</v>
      </c>
      <c r="H156" s="12">
        <v>8</v>
      </c>
      <c r="I156" s="1"/>
      <c r="J156" s="1">
        <v>7.75</v>
      </c>
      <c r="K156" s="1">
        <v>7.5</v>
      </c>
      <c r="L156" s="1"/>
      <c r="M156" s="1"/>
      <c r="N156" s="1">
        <v>7.3</v>
      </c>
      <c r="O156" s="1"/>
      <c r="P156" s="1"/>
      <c r="Q156" s="1">
        <v>8</v>
      </c>
      <c r="R156" s="1"/>
      <c r="S156" s="126">
        <f>IFERROR(AVERAGE(H156:R156),0)</f>
        <v>7.7099999999999991</v>
      </c>
      <c r="T156" s="127">
        <f>IFERROR(D156/S156," ")</f>
        <v>13.748378728923477</v>
      </c>
      <c r="U156" s="133">
        <f>IFERROR(D156/E156," ")</f>
        <v>4.8181818181818183</v>
      </c>
      <c r="W156" s="28"/>
    </row>
    <row r="157" spans="1:23" hidden="1">
      <c r="B157" s="12" t="s">
        <v>62</v>
      </c>
      <c r="C157" s="1" t="s">
        <v>54</v>
      </c>
      <c r="D157" s="122">
        <v>107</v>
      </c>
      <c r="E157" s="1">
        <v>22</v>
      </c>
      <c r="F157" s="81" t="s">
        <v>36</v>
      </c>
      <c r="H157" s="1">
        <v>8</v>
      </c>
      <c r="I157" s="1"/>
      <c r="J157" s="1">
        <v>7.25</v>
      </c>
      <c r="K157" s="1"/>
      <c r="L157" s="1"/>
      <c r="M157" s="1"/>
      <c r="N157" s="1">
        <v>7.6</v>
      </c>
      <c r="O157" s="1"/>
      <c r="P157" s="1"/>
      <c r="Q157" s="1">
        <v>8</v>
      </c>
      <c r="R157" s="1"/>
      <c r="S157" s="126">
        <f>IFERROR(AVERAGE(H157:R157),0)</f>
        <v>7.7125000000000004</v>
      </c>
      <c r="T157" s="127">
        <f>IFERROR(D157/S157," ")</f>
        <v>13.873581847649918</v>
      </c>
      <c r="U157" s="133">
        <f>IFERROR(D157/E157," ")</f>
        <v>4.8636363636363633</v>
      </c>
      <c r="W157" s="28"/>
    </row>
    <row r="158" spans="1:23" hidden="1">
      <c r="B158" s="39" t="s">
        <v>105</v>
      </c>
      <c r="C158" s="38" t="s">
        <v>106</v>
      </c>
      <c r="D158" s="65">
        <v>107</v>
      </c>
      <c r="E158" s="38">
        <v>22</v>
      </c>
      <c r="F158" s="173" t="s">
        <v>26</v>
      </c>
      <c r="G158" s="124"/>
      <c r="H158" s="42">
        <v>7.5</v>
      </c>
      <c r="I158" s="42"/>
      <c r="J158" s="42">
        <v>7</v>
      </c>
      <c r="K158" s="42">
        <v>7.1</v>
      </c>
      <c r="L158" s="42"/>
      <c r="M158" s="42"/>
      <c r="N158" s="42">
        <v>6.5</v>
      </c>
      <c r="O158" s="42"/>
      <c r="P158" s="42"/>
      <c r="Q158" s="42"/>
      <c r="R158" s="42"/>
      <c r="S158" s="126">
        <f>IFERROR(AVERAGE(H158:R158),0)</f>
        <v>7.0250000000000004</v>
      </c>
      <c r="T158" s="127">
        <f>IFERROR(D158/S158," ")</f>
        <v>15.231316725978647</v>
      </c>
      <c r="U158" s="133">
        <f>IFERROR(D158/E158," ")</f>
        <v>4.8636363636363633</v>
      </c>
      <c r="V158" s="24"/>
      <c r="W158" s="20"/>
    </row>
    <row r="159" spans="1:23">
      <c r="A159" s="48"/>
      <c r="B159" s="12" t="s">
        <v>271</v>
      </c>
      <c r="C159" s="1" t="s">
        <v>272</v>
      </c>
      <c r="D159" s="63">
        <v>109.99</v>
      </c>
      <c r="E159" s="1">
        <v>23.7</v>
      </c>
      <c r="F159" s="81" t="s">
        <v>165</v>
      </c>
      <c r="H159" s="1">
        <v>7.5</v>
      </c>
      <c r="I159" s="1"/>
      <c r="J159" s="1">
        <v>7</v>
      </c>
      <c r="K159" s="1">
        <v>7.8</v>
      </c>
      <c r="L159" s="1"/>
      <c r="M159" s="1">
        <v>8</v>
      </c>
      <c r="N159" s="1">
        <v>9</v>
      </c>
      <c r="O159" s="1"/>
      <c r="P159" s="1"/>
      <c r="Q159" s="1">
        <v>8.5</v>
      </c>
      <c r="R159" s="1"/>
      <c r="S159" s="126">
        <f>IFERROR(AVERAGE(H159:R159),0)</f>
        <v>7.9666666666666659</v>
      </c>
      <c r="T159" s="127">
        <f>IFERROR(D159/S159," ")</f>
        <v>13.806276150627616</v>
      </c>
      <c r="U159" s="133">
        <f>IFERROR(D159/E159," ")</f>
        <v>4.6409282700421937</v>
      </c>
      <c r="V159" s="24"/>
      <c r="W159" s="20"/>
    </row>
    <row r="160" spans="1:23" hidden="1">
      <c r="A160" s="19"/>
      <c r="B160" s="12" t="s">
        <v>78</v>
      </c>
      <c r="C160" t="s">
        <v>30</v>
      </c>
      <c r="D160" s="63">
        <v>115</v>
      </c>
      <c r="E160" s="1">
        <v>22</v>
      </c>
      <c r="F160" s="81" t="s">
        <v>36</v>
      </c>
      <c r="H160" s="1">
        <v>6</v>
      </c>
      <c r="I160" s="1"/>
      <c r="J160" s="1">
        <v>5</v>
      </c>
      <c r="K160" s="1">
        <v>5.5</v>
      </c>
      <c r="L160" s="1"/>
      <c r="M160" s="1"/>
      <c r="N160" s="1">
        <v>5.8</v>
      </c>
      <c r="O160" s="1"/>
      <c r="P160" s="1"/>
      <c r="Q160" s="1"/>
      <c r="R160" s="1"/>
      <c r="S160" s="126">
        <f>IFERROR(AVERAGE(H160:R160),0)</f>
        <v>5.5750000000000002</v>
      </c>
      <c r="T160" s="127">
        <f>IFERROR(D160/S160," ")</f>
        <v>20.627802690582961</v>
      </c>
      <c r="U160" s="133">
        <f>IFERROR(D160/E160," ")</f>
        <v>5.2272727272727275</v>
      </c>
      <c r="V160" s="24"/>
      <c r="W160" s="20"/>
    </row>
    <row r="161" spans="1:23" hidden="1">
      <c r="B161" s="12" t="s">
        <v>86</v>
      </c>
      <c r="C161" s="1" t="s">
        <v>54</v>
      </c>
      <c r="D161" s="63">
        <v>115</v>
      </c>
      <c r="E161" s="1">
        <v>22</v>
      </c>
      <c r="F161" s="81" t="s">
        <v>36</v>
      </c>
      <c r="H161" s="1">
        <v>7</v>
      </c>
      <c r="I161" s="1"/>
      <c r="J161" s="1">
        <v>7</v>
      </c>
      <c r="K161" s="1">
        <v>7</v>
      </c>
      <c r="L161" s="1"/>
      <c r="M161" s="1"/>
      <c r="N161" s="1"/>
      <c r="O161" s="1"/>
      <c r="P161" s="1"/>
      <c r="Q161" s="1">
        <v>6.5</v>
      </c>
      <c r="R161" s="1"/>
      <c r="S161" s="126">
        <f>IFERROR(AVERAGE(H161:R161),0)</f>
        <v>6.875</v>
      </c>
      <c r="T161" s="127">
        <f>IFERROR(D161/S161," ")</f>
        <v>16.727272727272727</v>
      </c>
      <c r="U161" s="133">
        <f>IFERROR(D161/E161," ")</f>
        <v>5.2272727272727275</v>
      </c>
      <c r="V161" s="24"/>
      <c r="W161" s="20"/>
    </row>
    <row r="162" spans="1:23">
      <c r="B162" s="12" t="s">
        <v>89</v>
      </c>
      <c r="C162" s="1" t="s">
        <v>38</v>
      </c>
      <c r="D162" s="63">
        <v>119.95</v>
      </c>
      <c r="E162" s="1">
        <v>22</v>
      </c>
      <c r="F162" s="187" t="s">
        <v>90</v>
      </c>
      <c r="H162" s="1">
        <v>8</v>
      </c>
      <c r="I162" s="1">
        <v>8</v>
      </c>
      <c r="J162" s="1">
        <v>8</v>
      </c>
      <c r="K162" s="1">
        <v>8.5</v>
      </c>
      <c r="L162" s="1"/>
      <c r="M162" s="1"/>
      <c r="N162" s="1">
        <v>7.8</v>
      </c>
      <c r="O162" s="1"/>
      <c r="P162" s="1"/>
      <c r="Q162" s="1">
        <v>8</v>
      </c>
      <c r="R162" s="1"/>
      <c r="S162" s="126">
        <f>IFERROR(AVERAGE(H162:R162),0)</f>
        <v>8.0499999999999989</v>
      </c>
      <c r="T162" s="127">
        <f>IFERROR(D162/S162," ")</f>
        <v>14.900621118012424</v>
      </c>
      <c r="U162" s="133">
        <f>IFERROR(D162/E162," ")</f>
        <v>5.4522727272727272</v>
      </c>
      <c r="V162" s="24"/>
      <c r="W162" s="20"/>
    </row>
    <row r="163" spans="1:23">
      <c r="A163" s="48"/>
      <c r="B163" s="12" t="s">
        <v>244</v>
      </c>
      <c r="C163" s="1" t="s">
        <v>245</v>
      </c>
      <c r="D163" s="63">
        <v>119.99</v>
      </c>
      <c r="E163" s="1">
        <v>28</v>
      </c>
      <c r="F163" s="81" t="s">
        <v>165</v>
      </c>
      <c r="H163" s="1">
        <v>7.5</v>
      </c>
      <c r="I163" s="1">
        <v>6.3</v>
      </c>
      <c r="J163" s="1">
        <v>7.5</v>
      </c>
      <c r="K163" s="1">
        <v>7</v>
      </c>
      <c r="L163" s="1"/>
      <c r="M163" s="1">
        <v>7.6</v>
      </c>
      <c r="N163" s="1">
        <v>8.9</v>
      </c>
      <c r="O163" s="1">
        <v>7</v>
      </c>
      <c r="P163" s="1"/>
      <c r="Q163" s="1">
        <v>7.6</v>
      </c>
      <c r="R163" s="1"/>
      <c r="S163" s="126">
        <f>IFERROR(AVERAGE(H163:R163),0)</f>
        <v>7.4249999999999998</v>
      </c>
      <c r="T163" s="127">
        <f>IFERROR(D163/S163," ")</f>
        <v>16.160269360269361</v>
      </c>
      <c r="U163" s="133">
        <f>IFERROR(D163/E163," ")</f>
        <v>4.2853571428571424</v>
      </c>
      <c r="V163" s="24"/>
      <c r="W163" s="20"/>
    </row>
    <row r="164" spans="1:23">
      <c r="A164" s="48"/>
      <c r="B164" s="12" t="s">
        <v>249</v>
      </c>
      <c r="C164" s="1" t="s">
        <v>206</v>
      </c>
      <c r="D164" s="63">
        <v>122</v>
      </c>
      <c r="E164" s="1">
        <v>25</v>
      </c>
      <c r="F164" s="81" t="s">
        <v>36</v>
      </c>
      <c r="H164" s="1">
        <v>7.6</v>
      </c>
      <c r="I164" s="1"/>
      <c r="J164" s="1">
        <v>8.3000000000000007</v>
      </c>
      <c r="K164" s="1">
        <v>7.55</v>
      </c>
      <c r="L164" s="1"/>
      <c r="M164" s="1">
        <v>7.7</v>
      </c>
      <c r="N164" s="1">
        <v>9</v>
      </c>
      <c r="O164" s="1"/>
      <c r="P164" s="1"/>
      <c r="Q164" s="1"/>
      <c r="R164" s="1"/>
      <c r="S164" s="126">
        <f>IFERROR(AVERAGE(H164:R164),0)</f>
        <v>8.0299999999999994</v>
      </c>
      <c r="T164" s="127">
        <f>IFERROR(D164/S164," ")</f>
        <v>15.193026151930262</v>
      </c>
      <c r="U164" s="133">
        <f>IFERROR(D164/E164," ")</f>
        <v>4.88</v>
      </c>
      <c r="V164" s="24"/>
      <c r="W164" s="20"/>
    </row>
    <row r="165" spans="1:23">
      <c r="A165" s="48"/>
      <c r="B165" s="12" t="s">
        <v>319</v>
      </c>
      <c r="C165" s="63" t="s">
        <v>38</v>
      </c>
      <c r="D165" s="63">
        <v>127</v>
      </c>
      <c r="E165" s="1">
        <v>22</v>
      </c>
      <c r="F165" s="81" t="s">
        <v>22</v>
      </c>
      <c r="H165" s="1">
        <v>7.5</v>
      </c>
      <c r="I165" s="1"/>
      <c r="J165" s="1">
        <v>7.1</v>
      </c>
      <c r="K165" s="1">
        <v>8.1999999999999993</v>
      </c>
      <c r="L165" s="1"/>
      <c r="M165" s="1"/>
      <c r="N165" s="1">
        <v>6.7</v>
      </c>
      <c r="O165" s="1"/>
      <c r="P165" s="1"/>
      <c r="Q165" s="1"/>
      <c r="R165" s="1">
        <v>7.5</v>
      </c>
      <c r="S165" s="126">
        <f>IFERROR(AVERAGE(H165:R165),0)</f>
        <v>7.4</v>
      </c>
      <c r="T165" s="127">
        <f>IFERROR(D165/S165," ")</f>
        <v>17.162162162162161</v>
      </c>
      <c r="U165" s="133">
        <f>IFERROR(D165/E165," ")</f>
        <v>5.7727272727272725</v>
      </c>
      <c r="V165" s="24"/>
      <c r="W165" s="20"/>
    </row>
    <row r="166" spans="1:23">
      <c r="A166" s="160" t="s">
        <v>258</v>
      </c>
      <c r="B166" s="134" t="s">
        <v>261</v>
      </c>
      <c r="C166" s="96" t="s">
        <v>159</v>
      </c>
      <c r="D166" s="97">
        <v>128</v>
      </c>
      <c r="E166" s="96">
        <v>28</v>
      </c>
      <c r="F166" s="98" t="s">
        <v>43</v>
      </c>
      <c r="H166" s="1"/>
      <c r="I166" s="1"/>
      <c r="J166" s="1"/>
      <c r="K166" s="1">
        <v>8.3000000000000007</v>
      </c>
      <c r="L166" s="1">
        <v>7.6</v>
      </c>
      <c r="M166" s="1">
        <v>7.4</v>
      </c>
      <c r="N166" s="1">
        <v>8.1</v>
      </c>
      <c r="O166" s="1"/>
      <c r="P166" s="1">
        <v>8</v>
      </c>
      <c r="Q166" s="1"/>
      <c r="R166" s="1"/>
      <c r="S166" s="126">
        <f>IFERROR(AVERAGE(H166:R166),0)</f>
        <v>7.88</v>
      </c>
      <c r="T166" s="127">
        <f>IFERROR(D166/S166," ")</f>
        <v>16.243654822335024</v>
      </c>
      <c r="U166" s="133">
        <f>IFERROR(D166/E166," ")</f>
        <v>4.5714285714285712</v>
      </c>
      <c r="V166" s="24"/>
      <c r="W166" s="20" t="s">
        <v>299</v>
      </c>
    </row>
    <row r="167" spans="1:23">
      <c r="B167" s="12" t="s">
        <v>143</v>
      </c>
      <c r="C167" s="1" t="s">
        <v>49</v>
      </c>
      <c r="D167" s="63">
        <v>128.99</v>
      </c>
      <c r="E167" s="1">
        <v>25.44</v>
      </c>
      <c r="F167" s="86" t="s">
        <v>22</v>
      </c>
      <c r="H167" s="1">
        <v>7.75</v>
      </c>
      <c r="I167" s="1"/>
      <c r="J167" s="1">
        <v>7.25</v>
      </c>
      <c r="K167" s="1">
        <v>7.5</v>
      </c>
      <c r="L167" s="1"/>
      <c r="M167" s="1"/>
      <c r="N167" s="1">
        <v>7.5</v>
      </c>
      <c r="O167" s="1"/>
      <c r="P167" s="1"/>
      <c r="Q167" s="1">
        <v>7</v>
      </c>
      <c r="R167" s="1"/>
      <c r="S167" s="126">
        <f>IFERROR(AVERAGE(H167:R167),0)</f>
        <v>7.4</v>
      </c>
      <c r="T167" s="127">
        <f>IFERROR(D167/S167," ")</f>
        <v>17.431081081081082</v>
      </c>
      <c r="U167" s="133">
        <f>IFERROR(D167/E167," ")</f>
        <v>5.0703616352201255</v>
      </c>
      <c r="V167" s="24"/>
      <c r="W167" s="20"/>
    </row>
    <row r="168" spans="1:23" hidden="1">
      <c r="B168" s="134" t="s">
        <v>108</v>
      </c>
      <c r="C168" s="42" t="s">
        <v>109</v>
      </c>
      <c r="D168" s="66">
        <v>134</v>
      </c>
      <c r="E168" s="42">
        <v>22</v>
      </c>
      <c r="F168" s="85" t="s">
        <v>43</v>
      </c>
      <c r="G168" s="124"/>
      <c r="H168" s="42">
        <v>6</v>
      </c>
      <c r="I168" s="42"/>
      <c r="J168" s="42">
        <v>6</v>
      </c>
      <c r="K168" s="42">
        <v>6.4</v>
      </c>
      <c r="L168" s="42"/>
      <c r="M168" s="42"/>
      <c r="N168" s="42">
        <v>5.4</v>
      </c>
      <c r="O168" s="42"/>
      <c r="P168" s="42"/>
      <c r="Q168" s="42"/>
      <c r="R168" s="42"/>
      <c r="S168" s="126">
        <f>IFERROR(AVERAGE(H168:R168),0)</f>
        <v>5.9499999999999993</v>
      </c>
      <c r="T168" s="127">
        <f>IFERROR(D168/S168," ")</f>
        <v>22.521008403361346</v>
      </c>
      <c r="U168" s="133">
        <f>IFERROR(D168/E168," ")</f>
        <v>6.0909090909090908</v>
      </c>
      <c r="V168" s="24"/>
      <c r="W168" s="20"/>
    </row>
    <row r="169" spans="1:23">
      <c r="A169" s="160" t="s">
        <v>258</v>
      </c>
      <c r="B169" s="134" t="s">
        <v>266</v>
      </c>
      <c r="C169" s="96" t="s">
        <v>240</v>
      </c>
      <c r="D169" s="97">
        <v>135</v>
      </c>
      <c r="E169" s="96">
        <v>22</v>
      </c>
      <c r="F169" s="98" t="s">
        <v>14</v>
      </c>
      <c r="H169" s="1"/>
      <c r="I169" s="1"/>
      <c r="J169" s="1">
        <v>6.5</v>
      </c>
      <c r="K169" s="1"/>
      <c r="L169" s="1"/>
      <c r="M169" s="1">
        <v>7.2</v>
      </c>
      <c r="N169" s="1">
        <v>7.2</v>
      </c>
      <c r="O169" s="1"/>
      <c r="P169" s="1"/>
      <c r="Q169" s="1">
        <v>6.5</v>
      </c>
      <c r="R169" s="1"/>
      <c r="S169" s="126">
        <f>IFERROR(AVERAGE(H169:R169),0)</f>
        <v>6.85</v>
      </c>
      <c r="T169" s="127">
        <f>IFERROR(D169/S169," ")</f>
        <v>19.708029197080293</v>
      </c>
      <c r="U169" s="133">
        <f>IFERROR(D169/E169," ")</f>
        <v>6.1363636363636367</v>
      </c>
      <c r="V169" s="24"/>
      <c r="W169" s="20"/>
    </row>
    <row r="170" spans="1:23">
      <c r="B170" s="134" t="s">
        <v>99</v>
      </c>
      <c r="C170" s="42" t="s">
        <v>49</v>
      </c>
      <c r="D170" s="66">
        <v>139</v>
      </c>
      <c r="E170" s="42">
        <v>30</v>
      </c>
      <c r="F170" s="85" t="s">
        <v>36</v>
      </c>
      <c r="G170" s="124"/>
      <c r="H170" s="42">
        <v>7.5</v>
      </c>
      <c r="I170" s="42"/>
      <c r="J170" s="42">
        <v>7.75</v>
      </c>
      <c r="K170" s="42">
        <v>7.5</v>
      </c>
      <c r="L170" s="42"/>
      <c r="M170" s="42"/>
      <c r="N170" s="42">
        <v>7.3</v>
      </c>
      <c r="O170" s="42"/>
      <c r="P170" s="42"/>
      <c r="Q170" s="42"/>
      <c r="R170" s="42"/>
      <c r="S170" s="126">
        <f>IFERROR(AVERAGE(H170:R170),0)</f>
        <v>7.5125000000000002</v>
      </c>
      <c r="T170" s="127">
        <f>IFERROR(D170/S170," ")</f>
        <v>18.502495840266224</v>
      </c>
      <c r="U170" s="133">
        <f>IFERROR(D170/E170," ")</f>
        <v>4.6333333333333337</v>
      </c>
      <c r="V170" s="24"/>
      <c r="W170" s="20"/>
    </row>
    <row r="171" spans="1:23">
      <c r="A171" s="160" t="s">
        <v>258</v>
      </c>
      <c r="B171" s="134" t="s">
        <v>259</v>
      </c>
      <c r="C171" s="96" t="s">
        <v>260</v>
      </c>
      <c r="D171" s="97">
        <v>139.97999999999999</v>
      </c>
      <c r="E171" s="96">
        <v>36</v>
      </c>
      <c r="F171" s="98" t="s">
        <v>22</v>
      </c>
      <c r="H171" s="1">
        <v>8</v>
      </c>
      <c r="I171" s="1"/>
      <c r="J171" s="1">
        <v>8.5</v>
      </c>
      <c r="K171" s="1">
        <v>8.1999999999999993</v>
      </c>
      <c r="L171" s="1">
        <v>9.1</v>
      </c>
      <c r="M171" s="1">
        <v>7.7</v>
      </c>
      <c r="N171" s="1"/>
      <c r="O171" s="1"/>
      <c r="P171" s="1"/>
      <c r="Q171" s="1">
        <v>8.4</v>
      </c>
      <c r="R171" s="1"/>
      <c r="S171" s="126">
        <f>IFERROR(AVERAGE(H171:R171),0)</f>
        <v>8.3166666666666664</v>
      </c>
      <c r="T171" s="127">
        <f>IFERROR(D171/S171," ")</f>
        <v>16.8312625250501</v>
      </c>
      <c r="U171" s="133">
        <f>IFERROR(D171/E171," ")</f>
        <v>3.8883333333333332</v>
      </c>
      <c r="V171" s="24"/>
      <c r="W171" s="20"/>
    </row>
    <row r="172" spans="1:23">
      <c r="A172" s="48"/>
      <c r="B172" s="150" t="s">
        <v>315</v>
      </c>
      <c r="C172" s="63" t="s">
        <v>316</v>
      </c>
      <c r="D172" s="169">
        <v>141.99</v>
      </c>
      <c r="E172" s="1">
        <v>25</v>
      </c>
      <c r="F172" s="81" t="s">
        <v>14</v>
      </c>
      <c r="H172" s="1">
        <v>7.5</v>
      </c>
      <c r="I172" s="1"/>
      <c r="J172" s="1">
        <v>7.4</v>
      </c>
      <c r="K172" s="1">
        <v>6.6</v>
      </c>
      <c r="L172" s="1"/>
      <c r="M172" s="1"/>
      <c r="N172" s="1">
        <v>8.4</v>
      </c>
      <c r="O172" s="1"/>
      <c r="P172" s="1"/>
      <c r="Q172" s="1">
        <v>8</v>
      </c>
      <c r="R172" s="1">
        <v>6.5</v>
      </c>
      <c r="S172" s="126">
        <f>IFERROR(AVERAGE(H172:R172),0)</f>
        <v>7.3999999999999995</v>
      </c>
      <c r="T172" s="127">
        <f>IFERROR(D172/S172," ")</f>
        <v>19.18783783783784</v>
      </c>
      <c r="U172" s="133">
        <f>IFERROR(D172/E172," ")</f>
        <v>5.6796000000000006</v>
      </c>
      <c r="V172" s="24"/>
      <c r="W172" s="20"/>
    </row>
    <row r="173" spans="1:23">
      <c r="A173" s="160" t="s">
        <v>258</v>
      </c>
      <c r="B173" s="134" t="s">
        <v>262</v>
      </c>
      <c r="C173" s="96" t="s">
        <v>159</v>
      </c>
      <c r="D173" s="97">
        <v>149.99</v>
      </c>
      <c r="E173" s="96">
        <v>25.4</v>
      </c>
      <c r="F173" s="98" t="s">
        <v>36</v>
      </c>
      <c r="H173" s="1">
        <v>7.5</v>
      </c>
      <c r="I173" s="1"/>
      <c r="J173" s="1">
        <v>7.5</v>
      </c>
      <c r="K173" s="1"/>
      <c r="L173" s="1"/>
      <c r="M173" s="1">
        <v>8</v>
      </c>
      <c r="N173" s="1">
        <v>7.5</v>
      </c>
      <c r="O173" s="1">
        <v>8.5</v>
      </c>
      <c r="P173" s="1">
        <v>7.8</v>
      </c>
      <c r="Q173" s="1"/>
      <c r="R173" s="1"/>
      <c r="S173" s="126">
        <f>IFERROR(AVERAGE(H173:R173),0)</f>
        <v>7.8</v>
      </c>
      <c r="T173" s="127">
        <f>IFERROR(D173/S173," ")</f>
        <v>19.22948717948718</v>
      </c>
      <c r="U173" s="133">
        <f>IFERROR(D173/E173," ")</f>
        <v>5.9051181102362209</v>
      </c>
      <c r="V173" s="24"/>
      <c r="W173" s="20"/>
    </row>
    <row r="174" spans="1:23">
      <c r="B174" s="134" t="s">
        <v>101</v>
      </c>
      <c r="C174" s="42" t="s">
        <v>51</v>
      </c>
      <c r="D174" s="66">
        <v>150</v>
      </c>
      <c r="E174" s="42">
        <v>24</v>
      </c>
      <c r="F174" s="85" t="s">
        <v>22</v>
      </c>
      <c r="G174" s="124"/>
      <c r="H174" s="42">
        <v>8.5</v>
      </c>
      <c r="I174" s="42"/>
      <c r="J174" s="42">
        <v>9</v>
      </c>
      <c r="K174" s="42">
        <v>8.4600000000000009</v>
      </c>
      <c r="L174" s="42"/>
      <c r="M174" s="42"/>
      <c r="N174" s="42">
        <v>8.32</v>
      </c>
      <c r="O174" s="42"/>
      <c r="P174" s="42"/>
      <c r="Q174" s="42"/>
      <c r="R174" s="42"/>
      <c r="S174" s="126">
        <f>IFERROR(AVERAGE(H174:R174),0)</f>
        <v>8.57</v>
      </c>
      <c r="T174" s="127">
        <f>IFERROR(D174/S174," ")</f>
        <v>17.50291715285881</v>
      </c>
      <c r="U174" s="133">
        <f>IFERROR(D174/E174," ")</f>
        <v>6.25</v>
      </c>
      <c r="V174" s="24"/>
      <c r="W174" s="20"/>
    </row>
    <row r="175" spans="1:23">
      <c r="A175" s="48"/>
      <c r="B175" s="12" t="s">
        <v>296</v>
      </c>
      <c r="C175" s="63" t="s">
        <v>240</v>
      </c>
      <c r="D175" s="63">
        <v>150</v>
      </c>
      <c r="E175" s="1">
        <v>22</v>
      </c>
      <c r="F175" s="81" t="s">
        <v>237</v>
      </c>
      <c r="H175" s="1">
        <v>7.5</v>
      </c>
      <c r="I175" s="1"/>
      <c r="J175" s="1">
        <v>7.8</v>
      </c>
      <c r="K175" s="1">
        <v>8</v>
      </c>
      <c r="L175" s="1"/>
      <c r="M175" s="1">
        <v>8.4</v>
      </c>
      <c r="N175" s="1">
        <v>8</v>
      </c>
      <c r="O175" s="1"/>
      <c r="P175" s="1"/>
      <c r="Q175" s="1">
        <v>7.6</v>
      </c>
      <c r="R175" s="1"/>
      <c r="S175" s="126">
        <f>IFERROR(AVERAGE(H175:R175),0)</f>
        <v>7.8833333333333337</v>
      </c>
      <c r="T175" s="127">
        <f>IFERROR(D175/S175," ")</f>
        <v>19.027484143763214</v>
      </c>
      <c r="U175" s="133">
        <f>IFERROR(D175/E175," ")</f>
        <v>6.8181818181818183</v>
      </c>
      <c r="V175" s="24"/>
      <c r="W175" s="20"/>
    </row>
    <row r="176" spans="1:23">
      <c r="A176" s="48"/>
      <c r="B176" s="12" t="s">
        <v>215</v>
      </c>
      <c r="C176" s="1" t="s">
        <v>216</v>
      </c>
      <c r="D176" s="63">
        <v>160</v>
      </c>
      <c r="E176" s="1">
        <v>28.8</v>
      </c>
      <c r="F176" s="81" t="s">
        <v>26</v>
      </c>
      <c r="H176" s="1">
        <v>6.5</v>
      </c>
      <c r="I176" s="1"/>
      <c r="J176" s="1">
        <v>7.3</v>
      </c>
      <c r="K176" s="1">
        <v>7.1</v>
      </c>
      <c r="L176" s="1"/>
      <c r="M176" s="1">
        <v>7.4</v>
      </c>
      <c r="N176" s="1">
        <v>6.3</v>
      </c>
      <c r="O176" s="1">
        <v>5.5</v>
      </c>
      <c r="P176" s="1"/>
      <c r="Q176" s="1">
        <v>7</v>
      </c>
      <c r="R176" s="1"/>
      <c r="S176" s="126">
        <f>IFERROR(AVERAGE(H176:R176),0)</f>
        <v>6.7285714285714278</v>
      </c>
      <c r="T176" s="127">
        <f>IFERROR(D176/S176," ")</f>
        <v>23.7791932059448</v>
      </c>
      <c r="U176" s="133">
        <f>IFERROR(D176/E176," ")</f>
        <v>5.5555555555555554</v>
      </c>
      <c r="V176" s="24"/>
      <c r="W176" s="20"/>
    </row>
    <row r="177" spans="1:23">
      <c r="A177" s="160" t="s">
        <v>258</v>
      </c>
      <c r="B177" s="134" t="s">
        <v>263</v>
      </c>
      <c r="C177" s="96" t="s">
        <v>21</v>
      </c>
      <c r="D177" s="97">
        <v>198</v>
      </c>
      <c r="E177" s="96">
        <v>24</v>
      </c>
      <c r="F177" s="174" t="s">
        <v>26</v>
      </c>
      <c r="H177" s="1"/>
      <c r="I177" s="1"/>
      <c r="J177" s="1">
        <v>8.4499999999999993</v>
      </c>
      <c r="K177" s="1">
        <v>8.8000000000000007</v>
      </c>
      <c r="L177" s="1">
        <v>9.1999999999999993</v>
      </c>
      <c r="M177" s="1">
        <v>8.1</v>
      </c>
      <c r="N177" s="1">
        <v>7.9</v>
      </c>
      <c r="O177" s="1"/>
      <c r="P177" s="1"/>
      <c r="Q177" s="1">
        <v>8</v>
      </c>
      <c r="R177" s="1"/>
      <c r="S177" s="126">
        <f>IFERROR(AVERAGE(H177:R177),0)</f>
        <v>8.4083333333333332</v>
      </c>
      <c r="T177" s="127">
        <f>IFERROR(D177/S177," ")</f>
        <v>23.548067393458872</v>
      </c>
      <c r="U177" s="133">
        <f>IFERROR(D177/E177," ")</f>
        <v>8.25</v>
      </c>
      <c r="V177" s="24"/>
      <c r="W177" s="20"/>
    </row>
    <row r="178" spans="1:23">
      <c r="A178" s="160" t="s">
        <v>258</v>
      </c>
      <c r="B178" s="166" t="s">
        <v>264</v>
      </c>
      <c r="C178" s="96" t="s">
        <v>240</v>
      </c>
      <c r="D178" s="170">
        <v>200</v>
      </c>
      <c r="E178" s="96">
        <v>25</v>
      </c>
      <c r="F178" s="98" t="s">
        <v>165</v>
      </c>
      <c r="H178" s="1">
        <v>2.5</v>
      </c>
      <c r="I178" s="1"/>
      <c r="J178" s="1"/>
      <c r="K178" s="1">
        <v>3</v>
      </c>
      <c r="L178" s="1"/>
      <c r="M178" s="1">
        <v>6</v>
      </c>
      <c r="N178" s="1">
        <v>1.9</v>
      </c>
      <c r="O178" s="1">
        <v>0</v>
      </c>
      <c r="P178" s="1">
        <v>1.9898</v>
      </c>
      <c r="Q178" s="1">
        <v>6</v>
      </c>
      <c r="R178" s="1"/>
      <c r="S178" s="126">
        <f>IFERROR(AVERAGE(H178:R178),0)</f>
        <v>3.0556857142857146</v>
      </c>
      <c r="T178" s="127">
        <f>IFERROR(D178/S178," ")</f>
        <v>65.451757379685645</v>
      </c>
      <c r="U178" s="133">
        <f>IFERROR(D178/E178," ")</f>
        <v>8</v>
      </c>
      <c r="V178" s="24"/>
      <c r="W178" s="20"/>
    </row>
    <row r="179" spans="1:23" hidden="1">
      <c r="A179" s="48"/>
      <c r="B179" s="12" t="s">
        <v>227</v>
      </c>
      <c r="C179" s="1"/>
      <c r="D179" s="63"/>
      <c r="E179" s="1"/>
      <c r="F179" s="81" t="s">
        <v>26</v>
      </c>
      <c r="H179" s="1"/>
      <c r="I179" s="1"/>
      <c r="J179" s="1">
        <v>5.5</v>
      </c>
      <c r="K179" s="1"/>
      <c r="L179" s="1"/>
      <c r="M179" s="1"/>
      <c r="N179" s="1">
        <v>2.5</v>
      </c>
      <c r="O179" s="1"/>
      <c r="P179" s="1"/>
      <c r="Q179" s="1"/>
      <c r="R179" s="1"/>
      <c r="S179" s="126">
        <f>IFERROR(AVERAGE(H179:R179),0)</f>
        <v>4</v>
      </c>
      <c r="T179" s="127">
        <f>IFERROR(D179/S179," ")</f>
        <v>0</v>
      </c>
      <c r="U179" s="133" t="str">
        <f>IFERROR(D179/E179," ")</f>
        <v xml:space="preserve"> </v>
      </c>
      <c r="V179" s="24"/>
      <c r="W179" s="20"/>
    </row>
    <row r="180" spans="1:23" hidden="1">
      <c r="A180" s="48"/>
      <c r="B180" s="12" t="s">
        <v>277</v>
      </c>
      <c r="C180" s="1"/>
      <c r="D180" s="63"/>
      <c r="E180" s="1"/>
      <c r="F180" s="121" t="s">
        <v>36</v>
      </c>
      <c r="H180" s="1"/>
      <c r="I180" s="1"/>
      <c r="J180" s="1">
        <v>6.5</v>
      </c>
      <c r="K180" s="1"/>
      <c r="L180" s="1"/>
      <c r="M180" s="1"/>
      <c r="N180" s="1"/>
      <c r="O180" s="1"/>
      <c r="P180" s="1"/>
      <c r="Q180" s="1"/>
      <c r="R180" s="1">
        <v>6.5</v>
      </c>
      <c r="S180" s="126">
        <f>IFERROR(AVERAGE(H180:R180),0)</f>
        <v>6.5</v>
      </c>
      <c r="T180" s="127">
        <f>IFERROR(D180/S180," ")</f>
        <v>0</v>
      </c>
      <c r="U180" s="133" t="str">
        <f>IFERROR(D180/E180," ")</f>
        <v xml:space="preserve"> </v>
      </c>
      <c r="V180" s="24"/>
      <c r="W180" s="20"/>
    </row>
    <row r="181" spans="1:23" hidden="1">
      <c r="A181" s="48"/>
      <c r="B181" s="12" t="s">
        <v>292</v>
      </c>
      <c r="C181" s="63" t="s">
        <v>94</v>
      </c>
      <c r="D181" s="63"/>
      <c r="E181" s="1"/>
      <c r="F181" s="82" t="s">
        <v>256</v>
      </c>
      <c r="H181" s="1"/>
      <c r="I181" s="1"/>
      <c r="J181" s="1"/>
      <c r="K181" s="1"/>
      <c r="L181" s="1"/>
      <c r="M181" s="1">
        <v>7.2</v>
      </c>
      <c r="N181" s="1">
        <v>7</v>
      </c>
      <c r="O181" s="1"/>
      <c r="P181" s="1"/>
      <c r="Q181" s="1">
        <v>7</v>
      </c>
      <c r="R181" s="1">
        <v>6</v>
      </c>
      <c r="S181" s="126">
        <f>IFERROR(AVERAGE(H181:R181),0)</f>
        <v>6.8</v>
      </c>
      <c r="T181" s="127">
        <f>IFERROR(D181/S181," ")</f>
        <v>0</v>
      </c>
      <c r="U181" s="133" t="str">
        <f>IFERROR(D181/E181," ")</f>
        <v xml:space="preserve"> </v>
      </c>
      <c r="V181" s="24"/>
      <c r="W181" s="20"/>
    </row>
    <row r="182" spans="1:23">
      <c r="A182" s="48"/>
      <c r="B182" s="12" t="s">
        <v>303</v>
      </c>
      <c r="C182" s="63" t="s">
        <v>240</v>
      </c>
      <c r="D182" s="63"/>
      <c r="E182" s="1">
        <v>25.4</v>
      </c>
      <c r="F182" s="81" t="s">
        <v>237</v>
      </c>
      <c r="H182" s="1">
        <v>8</v>
      </c>
      <c r="I182" s="1"/>
      <c r="J182" s="1">
        <v>8.5</v>
      </c>
      <c r="K182" s="1"/>
      <c r="L182" s="1">
        <v>8.9</v>
      </c>
      <c r="M182" s="1">
        <v>8.4</v>
      </c>
      <c r="N182" s="1">
        <v>8.9</v>
      </c>
      <c r="O182" s="1"/>
      <c r="P182" s="1"/>
      <c r="Q182" s="1"/>
      <c r="R182" s="1">
        <v>8.5</v>
      </c>
      <c r="S182" s="126">
        <f>IFERROR(AVERAGE(H182:R182),0)</f>
        <v>8.5333333333333332</v>
      </c>
      <c r="T182" s="127">
        <f>IFERROR(D182/S182," ")</f>
        <v>0</v>
      </c>
      <c r="U182" s="133">
        <f>IFERROR(D182/E182," ")</f>
        <v>0</v>
      </c>
      <c r="V182" s="24"/>
      <c r="W182" s="20"/>
    </row>
    <row r="183" spans="1:23" hidden="1">
      <c r="A183" s="48"/>
      <c r="B183" s="12"/>
      <c r="C183" s="63"/>
      <c r="D183" s="63"/>
      <c r="E183" s="1"/>
      <c r="F183" s="81" t="s">
        <v>165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26">
        <f>IFERROR(AVERAGE(H183:R183),0)</f>
        <v>0</v>
      </c>
      <c r="T183" s="127" t="str">
        <f>IFERROR(D183/S183," ")</f>
        <v xml:space="preserve"> </v>
      </c>
      <c r="U183" s="133" t="str">
        <f>IFERROR(D183/E183," ")</f>
        <v xml:space="preserve"> </v>
      </c>
      <c r="V183" s="24"/>
      <c r="W183" s="20"/>
    </row>
    <row r="184" spans="1:23" hidden="1">
      <c r="A184" s="48"/>
      <c r="B184" s="12"/>
      <c r="C184" s="63"/>
      <c r="D184" s="63"/>
      <c r="E184" s="1"/>
      <c r="F184" s="84" t="s">
        <v>26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26">
        <f>IFERROR(AVERAGE(H184:R184),0)</f>
        <v>0</v>
      </c>
      <c r="T184" s="127" t="str">
        <f>IFERROR(D184/S184," ")</f>
        <v xml:space="preserve"> </v>
      </c>
      <c r="U184" s="133" t="str">
        <f>IFERROR(D184/E184," ")</f>
        <v xml:space="preserve"> </v>
      </c>
      <c r="V184" s="24"/>
      <c r="W184" s="20"/>
    </row>
    <row r="185" spans="1:23" ht="30.75" hidden="1" customHeight="1">
      <c r="A185" s="155" t="s">
        <v>365</v>
      </c>
      <c r="B185" s="12"/>
      <c r="C185" s="63"/>
      <c r="D185" s="63"/>
      <c r="E185" s="1"/>
      <c r="F185" s="8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26">
        <f>IFERROR(AVERAGE(H185:R185),0)</f>
        <v>0</v>
      </c>
      <c r="T185" s="127" t="str">
        <f>IFERROR(D185/S185," ")</f>
        <v xml:space="preserve"> </v>
      </c>
      <c r="U185" s="133" t="str">
        <f>IFERROR(D185/E185," ")</f>
        <v xml:space="preserve"> </v>
      </c>
      <c r="V185" s="24"/>
      <c r="W185" s="20"/>
    </row>
    <row r="186" spans="1:23" hidden="1">
      <c r="A186" s="155"/>
      <c r="B186" s="12"/>
      <c r="C186" s="63"/>
      <c r="D186" s="63"/>
      <c r="E186" s="1"/>
      <c r="F186" s="8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26">
        <f>IFERROR(AVERAGE(H186:R186),0)</f>
        <v>0</v>
      </c>
      <c r="T186" s="127" t="str">
        <f>IFERROR(D186/S186," ")</f>
        <v xml:space="preserve"> </v>
      </c>
      <c r="U186" s="133" t="str">
        <f>IFERROR(D186/E186," ")</f>
        <v xml:space="preserve"> </v>
      </c>
      <c r="V186" s="24"/>
      <c r="W186" s="20"/>
    </row>
    <row r="187" spans="1:23" hidden="1">
      <c r="A187" s="155"/>
      <c r="B187" s="12"/>
      <c r="C187" s="63"/>
      <c r="D187" s="63"/>
      <c r="E187" s="1"/>
      <c r="F187" s="8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26">
        <f>IFERROR(AVERAGE(H187:R187),0)</f>
        <v>0</v>
      </c>
      <c r="T187" s="127" t="str">
        <f>IFERROR(D187/S187," ")</f>
        <v xml:space="preserve"> </v>
      </c>
      <c r="U187" s="133" t="str">
        <f>IFERROR(D187/E187," ")</f>
        <v xml:space="preserve"> </v>
      </c>
      <c r="V187" s="24"/>
      <c r="W187" s="20"/>
    </row>
    <row r="188" spans="1:23" hidden="1">
      <c r="A188" s="155"/>
      <c r="B188" s="12"/>
      <c r="C188" s="63"/>
      <c r="D188" s="63"/>
      <c r="E188" s="1"/>
      <c r="F188" s="8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26">
        <f>IFERROR(AVERAGE(H188:R188),0)</f>
        <v>0</v>
      </c>
      <c r="T188" s="127" t="str">
        <f>IFERROR(D188/S188," ")</f>
        <v xml:space="preserve"> </v>
      </c>
      <c r="U188" s="133" t="str">
        <f>IFERROR(D188/E188," ")</f>
        <v xml:space="preserve"> </v>
      </c>
      <c r="V188" s="24"/>
      <c r="W188" s="20"/>
    </row>
    <row r="189" spans="1:23" ht="15.75" hidden="1" customHeight="1">
      <c r="B189" s="12"/>
      <c r="C189" s="63"/>
      <c r="D189" s="63"/>
      <c r="E189" s="1"/>
      <c r="F189" s="81" t="s">
        <v>14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26">
        <f>IFERROR(AVERAGE(H189:R189),0)</f>
        <v>0</v>
      </c>
      <c r="T189" s="127" t="str">
        <f>IFERROR(D189/S189," ")</f>
        <v xml:space="preserve"> </v>
      </c>
      <c r="U189" s="133" t="str">
        <f>IFERROR(D189/E189," ")</f>
        <v xml:space="preserve"> </v>
      </c>
      <c r="V189" s="24"/>
      <c r="W189" s="20"/>
    </row>
    <row r="190" spans="1:23" ht="15.75" hidden="1" customHeight="1">
      <c r="B190" s="12"/>
      <c r="C190" s="63"/>
      <c r="D190" s="63"/>
      <c r="E190" s="1"/>
      <c r="F190" s="81" t="s">
        <v>15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26">
        <f>IFERROR(AVERAGE(H190:R190),0)</f>
        <v>0</v>
      </c>
      <c r="T190" s="127" t="str">
        <f>IFERROR(D190/S190," ")</f>
        <v xml:space="preserve"> </v>
      </c>
      <c r="U190" s="133" t="str">
        <f>IFERROR(D190/E190," ")</f>
        <v xml:space="preserve"> </v>
      </c>
      <c r="V190" s="24"/>
      <c r="W190" s="20"/>
    </row>
    <row r="191" spans="1:23" ht="15.75" hidden="1" customHeight="1">
      <c r="B191" s="12"/>
      <c r="C191" s="63"/>
      <c r="D191" s="63"/>
      <c r="E191" s="1"/>
      <c r="F191" s="8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26">
        <f>IFERROR(AVERAGE(H191:R191),0)</f>
        <v>0</v>
      </c>
      <c r="T191" s="127" t="str">
        <f>IFERROR(D191/S191," ")</f>
        <v xml:space="preserve"> </v>
      </c>
      <c r="U191" s="133" t="str">
        <f>IFERROR(D191/E191," ")</f>
        <v xml:space="preserve"> </v>
      </c>
      <c r="V191" s="24"/>
      <c r="W191" s="20"/>
    </row>
    <row r="192" spans="1:23" ht="15.75" hidden="1" customHeight="1">
      <c r="B192" s="12"/>
      <c r="C192" s="63"/>
      <c r="D192" s="63"/>
      <c r="E192" s="1"/>
      <c r="F192" s="81" t="s">
        <v>43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26">
        <f>IFERROR(AVERAGE(H192:R192),0)</f>
        <v>0</v>
      </c>
      <c r="T192" s="127" t="str">
        <f>IFERROR(D192/S192," ")</f>
        <v xml:space="preserve"> </v>
      </c>
      <c r="U192" s="133" t="str">
        <f>IFERROR(D192/E192," ")</f>
        <v xml:space="preserve"> </v>
      </c>
      <c r="V192" s="24"/>
      <c r="W192" s="20"/>
    </row>
    <row r="193" spans="1:23" hidden="1">
      <c r="B193" s="12"/>
      <c r="C193" s="63"/>
      <c r="D193" s="63"/>
      <c r="E193" s="1"/>
      <c r="F193" s="82" t="s">
        <v>22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26">
        <f>IFERROR(AVERAGE(H193:R193),0)</f>
        <v>0</v>
      </c>
      <c r="T193" s="127" t="str">
        <f>IFERROR(D193/S193," ")</f>
        <v xml:space="preserve"> </v>
      </c>
      <c r="U193" s="133" t="str">
        <f>IFERROR(D193/E193," ")</f>
        <v xml:space="preserve"> </v>
      </c>
      <c r="V193" s="24"/>
      <c r="W193" s="20"/>
    </row>
    <row r="194" spans="1:23" hidden="1">
      <c r="B194" s="12"/>
      <c r="C194" s="63"/>
      <c r="D194" s="63"/>
      <c r="E194" s="1"/>
      <c r="F194" s="81" t="s">
        <v>36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26">
        <f>IFERROR(AVERAGE(H194:R194),0)</f>
        <v>0</v>
      </c>
      <c r="T194" s="127" t="str">
        <f>IFERROR(D194/S194," ")</f>
        <v xml:space="preserve"> </v>
      </c>
      <c r="U194" s="133" t="str">
        <f>IFERROR(D194/E194," ")</f>
        <v xml:space="preserve"> </v>
      </c>
      <c r="V194" s="24"/>
      <c r="W194" s="20"/>
    </row>
    <row r="195" spans="1:23" hidden="1">
      <c r="B195" s="16"/>
      <c r="C195" s="151"/>
      <c r="D195" s="151"/>
      <c r="E195" s="9"/>
      <c r="F195" s="152" t="s">
        <v>165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26">
        <f>IFERROR(AVERAGE(H195:R195),0)</f>
        <v>0</v>
      </c>
      <c r="T195" s="127" t="str">
        <f>IFERROR(D195/S195," ")</f>
        <v xml:space="preserve"> </v>
      </c>
      <c r="U195" s="133" t="str">
        <f>IFERROR(D195/E195," ")</f>
        <v xml:space="preserve"> </v>
      </c>
      <c r="V195" s="24"/>
      <c r="W195" s="20"/>
    </row>
    <row r="196" spans="1:23" hidden="1">
      <c r="A196" s="48"/>
      <c r="B196" s="2"/>
      <c r="C196" s="2"/>
      <c r="D196" s="122"/>
      <c r="E196" s="2"/>
      <c r="F196" s="15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26">
        <f>IFERROR(AVERAGE(H196:R196),0)</f>
        <v>0</v>
      </c>
      <c r="T196" s="127" t="str">
        <f>IFERROR(D196/S196," ")</f>
        <v xml:space="preserve"> </v>
      </c>
      <c r="U196" s="133" t="str">
        <f>IFERROR(D196/E196," ")</f>
        <v xml:space="preserve"> </v>
      </c>
      <c r="V196" s="24"/>
      <c r="W196" s="79"/>
    </row>
    <row r="197" spans="1:23" hidden="1">
      <c r="B197" s="90"/>
      <c r="C197" s="91"/>
      <c r="D197" s="92"/>
      <c r="E197" s="91"/>
      <c r="F197" s="93"/>
      <c r="H197" s="137">
        <f>AVERAGE(H2:H196)</f>
        <v>7.0262142857142855</v>
      </c>
      <c r="I197" s="137">
        <f>AVERAGE(I2:I196)</f>
        <v>6.8125000000000009</v>
      </c>
      <c r="J197" s="137">
        <f>AVERAGE(J2:J196)</f>
        <v>6.805298013245034</v>
      </c>
      <c r="K197" s="137">
        <f>AVERAGE(K2:K196)</f>
        <v>7.2351769911504418</v>
      </c>
      <c r="L197" s="137">
        <f>AVERAGE(L2:L196)</f>
        <v>7.6764705882352944</v>
      </c>
      <c r="M197" s="137">
        <f>AVERAGE(M2:M196)</f>
        <v>7.3517647058823536</v>
      </c>
      <c r="N197" s="137">
        <f>AVERAGE(N2:N196)</f>
        <v>7.3600480519480502</v>
      </c>
      <c r="O197" s="137">
        <f>AVERAGE(O2:O196)</f>
        <v>7.2241379310344831</v>
      </c>
      <c r="P197" s="137">
        <f>AVERAGE(P2:P196)</f>
        <v>6.9792785714285728</v>
      </c>
      <c r="Q197" s="137">
        <f>AVERAGE(Q2:Q196)</f>
        <v>7.1307017543859645</v>
      </c>
      <c r="R197" s="137">
        <f>AVERAGE(R2:R196)</f>
        <v>6.634615384615385</v>
      </c>
      <c r="S197" s="126">
        <f>AVERAGE(S2:S196)</f>
        <v>6.5644913960114009</v>
      </c>
      <c r="T197" s="139">
        <f>AVERAGE(T2:T196)</f>
        <v>11.048339939244135</v>
      </c>
      <c r="U197" s="139">
        <f>AVERAGE(U2:U196)</f>
        <v>3.5988612248336236</v>
      </c>
    </row>
    <row r="198" spans="1:23" hidden="1">
      <c r="H198" s="16">
        <f>MEDIAN(H2:H158)</f>
        <v>7.3250000000000002</v>
      </c>
      <c r="I198" s="9">
        <f>MEDIAN(I2:I158)</f>
        <v>7</v>
      </c>
      <c r="J198" s="9">
        <f>MEDIAN(J2:J158)</f>
        <v>6.8</v>
      </c>
      <c r="K198" s="9">
        <f>MEDIAN(K2:K158)</f>
        <v>7.4</v>
      </c>
      <c r="L198" s="9">
        <f>MEDIAN(L2:L158)</f>
        <v>7.6</v>
      </c>
      <c r="M198" s="9">
        <f>MEDIAN(M2:M158)</f>
        <v>7.35</v>
      </c>
      <c r="N198" s="9">
        <f>MEDIAN(N2:N158)</f>
        <v>7.58</v>
      </c>
      <c r="O198" s="9">
        <f>MEDIAN(O2:O158)</f>
        <v>8</v>
      </c>
      <c r="P198" s="9">
        <f>MEDIAN(P2:P158)</f>
        <v>7.3</v>
      </c>
      <c r="Q198" s="9">
        <f>MEDIAN(Q2:Q158)</f>
        <v>7</v>
      </c>
      <c r="R198" s="9">
        <f>MEDIAN(R2:R158)</f>
        <v>6.5</v>
      </c>
      <c r="S198" s="126">
        <f>MEDIAN(S2:S158)</f>
        <v>7.1</v>
      </c>
      <c r="T198" s="138">
        <f>MEDIAN(T2:T158)</f>
        <v>9.9819168173598563</v>
      </c>
      <c r="U198" s="138">
        <f>MEDIAN(U2:U158)</f>
        <v>3.2197267804397764</v>
      </c>
    </row>
    <row r="199" spans="1:23" hidden="1">
      <c r="T199" s="3"/>
      <c r="U199" s="3"/>
    </row>
    <row r="200" spans="1:23" hidden="1">
      <c r="B200" s="50"/>
      <c r="C200" s="77"/>
      <c r="D200" s="78"/>
      <c r="H200" s="156"/>
      <c r="I200" s="157"/>
      <c r="J200" s="157"/>
      <c r="K200" s="157"/>
      <c r="L200" s="158"/>
      <c r="Q200" s="104"/>
      <c r="R200" s="104"/>
      <c r="S200" s="105"/>
      <c r="T200" s="3"/>
      <c r="U200" s="3"/>
    </row>
    <row r="201" spans="1:23" hidden="1">
      <c r="B201" s="12"/>
      <c r="C201" s="1"/>
      <c r="D201" s="13"/>
      <c r="H201" s="115"/>
      <c r="I201" s="116"/>
      <c r="J201" s="116"/>
      <c r="K201" s="116"/>
      <c r="L201" s="117"/>
      <c r="Q201" s="104"/>
      <c r="R201" s="104"/>
      <c r="S201" s="105"/>
      <c r="T201" s="3"/>
      <c r="U201" s="3"/>
    </row>
    <row r="202" spans="1:23" hidden="1">
      <c r="B202" s="12"/>
      <c r="C202" s="8"/>
      <c r="D202" s="13"/>
      <c r="H202" s="58"/>
      <c r="I202" s="108"/>
      <c r="J202" s="109"/>
      <c r="K202" s="118"/>
      <c r="L202" s="110"/>
      <c r="Q202" s="106"/>
      <c r="R202" s="106"/>
      <c r="T202" s="3"/>
      <c r="U202" s="3"/>
    </row>
    <row r="203" spans="1:23" hidden="1">
      <c r="B203" s="12"/>
      <c r="C203" s="8"/>
      <c r="D203" s="13"/>
      <c r="H203" s="54"/>
      <c r="I203" s="107"/>
      <c r="J203" s="37"/>
      <c r="K203" s="119"/>
      <c r="L203" s="111"/>
      <c r="Q203" s="106"/>
      <c r="R203" s="106"/>
      <c r="T203" s="3"/>
      <c r="U203" s="3"/>
    </row>
    <row r="204" spans="1:23" hidden="1">
      <c r="B204" s="12"/>
      <c r="C204" s="1"/>
      <c r="D204" s="13"/>
      <c r="H204" s="54"/>
      <c r="I204" s="107"/>
      <c r="J204" s="37"/>
      <c r="K204" s="119"/>
      <c r="L204" s="111"/>
      <c r="Q204" s="106"/>
      <c r="R204" s="106"/>
      <c r="T204" s="3"/>
      <c r="U204" s="3"/>
    </row>
    <row r="205" spans="1:23" hidden="1">
      <c r="B205" s="12"/>
      <c r="C205" s="1"/>
      <c r="D205" s="13"/>
      <c r="H205" s="54"/>
      <c r="I205" s="107"/>
      <c r="J205" s="37"/>
      <c r="K205" s="119"/>
      <c r="L205" s="111"/>
      <c r="Q205" s="106"/>
      <c r="R205" s="106"/>
      <c r="T205" s="3"/>
      <c r="U205" s="3"/>
    </row>
    <row r="206" spans="1:23" hidden="1">
      <c r="B206" s="12"/>
      <c r="C206" s="1"/>
      <c r="D206" s="13"/>
      <c r="H206" s="54"/>
      <c r="I206" s="107"/>
      <c r="J206" s="37"/>
      <c r="K206" s="119"/>
      <c r="L206" s="111"/>
      <c r="Q206" s="106"/>
      <c r="R206" s="106"/>
      <c r="T206" s="3"/>
      <c r="U206" s="3"/>
    </row>
    <row r="207" spans="1:23" hidden="1">
      <c r="B207" s="12"/>
      <c r="C207" s="1"/>
      <c r="D207" s="13"/>
      <c r="H207" s="54"/>
      <c r="I207" s="107"/>
      <c r="J207" s="37"/>
      <c r="K207" s="119"/>
      <c r="L207" s="111"/>
      <c r="Q207" s="106"/>
      <c r="R207" s="106"/>
      <c r="T207" s="3"/>
      <c r="U207" s="3"/>
    </row>
    <row r="208" spans="1:23" hidden="1">
      <c r="B208" s="25"/>
      <c r="C208" s="26"/>
      <c r="D208" s="27"/>
      <c r="H208" s="54"/>
      <c r="I208" s="107"/>
      <c r="J208" s="37"/>
      <c r="K208" s="119"/>
      <c r="L208" s="111"/>
      <c r="Q208" s="106"/>
      <c r="R208" s="106"/>
      <c r="T208" s="3"/>
      <c r="U208" s="3"/>
    </row>
    <row r="209" spans="2:21" hidden="1">
      <c r="B209" s="25"/>
      <c r="C209" s="26"/>
      <c r="D209" s="27"/>
      <c r="H209" s="54"/>
      <c r="I209" s="107"/>
      <c r="J209" s="37"/>
      <c r="K209" s="119"/>
      <c r="L209" s="111"/>
      <c r="Q209" s="106"/>
      <c r="R209" s="106"/>
      <c r="T209" s="3"/>
      <c r="U209" s="3"/>
    </row>
    <row r="210" spans="2:21" hidden="1">
      <c r="B210" s="16"/>
      <c r="C210" s="9"/>
      <c r="D210" s="17"/>
      <c r="H210" s="55"/>
      <c r="I210" s="112"/>
      <c r="J210" s="113"/>
      <c r="K210" s="120"/>
      <c r="L210" s="114"/>
      <c r="Q210" s="106"/>
      <c r="R210" s="106"/>
      <c r="T210" s="3"/>
      <c r="U210" s="3"/>
    </row>
    <row r="211" spans="2:21" hidden="1">
      <c r="B211" s="35"/>
      <c r="C211" s="37"/>
      <c r="D211" s="100"/>
      <c r="E211" s="53"/>
      <c r="T211" s="3"/>
      <c r="U211" s="3"/>
    </row>
    <row r="212" spans="2:21" hidden="1">
      <c r="B212" s="50"/>
      <c r="C212" s="2"/>
      <c r="D212" s="52"/>
      <c r="E212" s="53"/>
      <c r="T212" s="3"/>
      <c r="U212" s="3"/>
    </row>
    <row r="213" spans="2:21" hidden="1">
      <c r="B213" s="12"/>
      <c r="C213" s="1"/>
      <c r="D213" s="13"/>
      <c r="T213" s="3"/>
      <c r="U213" s="3"/>
    </row>
    <row r="214" spans="2:21">
      <c r="B214" s="12"/>
      <c r="C214" s="1"/>
      <c r="D214" s="13"/>
      <c r="T214" s="3"/>
      <c r="U214" s="3"/>
    </row>
    <row r="215" spans="2:21">
      <c r="B215" s="12"/>
      <c r="C215" s="1"/>
      <c r="D215" s="13"/>
      <c r="T215" s="3"/>
      <c r="U215" s="3"/>
    </row>
    <row r="216" spans="2:21">
      <c r="B216" s="12"/>
      <c r="C216" s="1"/>
      <c r="D216" s="13"/>
      <c r="T216" s="3"/>
      <c r="U216" s="3"/>
    </row>
    <row r="217" spans="2:21">
      <c r="B217" s="12"/>
      <c r="C217" s="1"/>
      <c r="D217" s="13"/>
      <c r="T217" s="3"/>
      <c r="U217" s="3"/>
    </row>
    <row r="218" spans="2:21">
      <c r="B218" s="12"/>
      <c r="C218" s="1"/>
      <c r="D218" s="13"/>
      <c r="T218" s="3"/>
      <c r="U218" s="3"/>
    </row>
    <row r="219" spans="2:21">
      <c r="B219" s="49"/>
      <c r="C219" s="1"/>
      <c r="D219" s="51"/>
    </row>
    <row r="220" spans="2:21">
      <c r="B220" s="14"/>
      <c r="C220" s="11"/>
      <c r="D220" s="15"/>
    </row>
    <row r="221" spans="2:21">
      <c r="B221" s="12"/>
      <c r="C221" s="1"/>
      <c r="D221" s="13"/>
    </row>
    <row r="222" spans="2:21">
      <c r="B222" s="12"/>
      <c r="C222" s="1"/>
      <c r="D222" s="13"/>
    </row>
    <row r="223" spans="2:21">
      <c r="B223" s="12"/>
      <c r="C223" s="1"/>
      <c r="D223" s="13"/>
    </row>
    <row r="224" spans="2:21">
      <c r="B224" s="12"/>
      <c r="C224" s="1"/>
      <c r="D224" s="13"/>
    </row>
    <row r="225" spans="2:8">
      <c r="B225" s="16"/>
      <c r="C225" s="9"/>
      <c r="D225" s="17"/>
    </row>
    <row r="226" spans="2:8">
      <c r="B226" s="2"/>
      <c r="C226" s="2"/>
      <c r="D226" s="2"/>
      <c r="G226" s="24"/>
    </row>
    <row r="227" spans="2:8">
      <c r="E227" s="184"/>
      <c r="F227" s="185"/>
      <c r="G227" s="186"/>
    </row>
    <row r="228" spans="2:8">
      <c r="B228" s="69"/>
      <c r="E228" s="178"/>
      <c r="F228" s="179"/>
      <c r="G228" s="179"/>
      <c r="H228" s="75"/>
    </row>
    <row r="229" spans="2:8">
      <c r="B229" s="71"/>
      <c r="E229" s="178"/>
      <c r="F229" s="179"/>
      <c r="G229" s="179"/>
      <c r="H229" s="73"/>
    </row>
    <row r="230" spans="2:8">
      <c r="B230" s="58"/>
      <c r="C230" s="70"/>
      <c r="E230" s="178"/>
      <c r="F230" s="179"/>
      <c r="G230" s="179"/>
      <c r="H230" s="73"/>
    </row>
    <row r="231" spans="2:8">
      <c r="B231" s="54"/>
      <c r="C231" s="56"/>
      <c r="E231" s="178"/>
      <c r="F231" s="179"/>
      <c r="G231" s="179"/>
      <c r="H231" s="73"/>
    </row>
    <row r="232" spans="2:8">
      <c r="B232" s="54"/>
      <c r="C232" s="56"/>
      <c r="E232" s="180"/>
      <c r="F232" s="181"/>
      <c r="G232" s="181"/>
      <c r="H232" s="74"/>
    </row>
    <row r="233" spans="2:8">
      <c r="B233" s="54"/>
      <c r="C233" s="56"/>
      <c r="E233" s="179"/>
      <c r="F233" s="179"/>
      <c r="G233" s="179"/>
    </row>
    <row r="234" spans="2:8">
      <c r="B234" s="55"/>
      <c r="C234" s="57"/>
      <c r="F234"/>
    </row>
    <row r="235" spans="2:8">
      <c r="B235" s="72"/>
      <c r="F235"/>
    </row>
    <row r="236" spans="2:8">
      <c r="B236" s="58"/>
      <c r="C236" s="70"/>
      <c r="F236"/>
    </row>
    <row r="237" spans="2:8">
      <c r="B237" s="54"/>
      <c r="C237" s="56"/>
      <c r="F237"/>
    </row>
    <row r="238" spans="2:8">
      <c r="B238" s="54"/>
      <c r="C238" s="56"/>
    </row>
    <row r="239" spans="2:8">
      <c r="B239" s="54"/>
      <c r="C239" s="56"/>
    </row>
    <row r="240" spans="2:8">
      <c r="B240" s="55"/>
      <c r="C240" s="57"/>
    </row>
    <row r="241" spans="2:3">
      <c r="B241" s="72"/>
    </row>
    <row r="242" spans="2:3">
      <c r="B242" s="58"/>
      <c r="C242" s="70"/>
    </row>
    <row r="243" spans="2:3">
      <c r="B243" s="54"/>
      <c r="C243" s="56"/>
    </row>
    <row r="244" spans="2:3">
      <c r="B244" s="54"/>
      <c r="C244" s="56"/>
    </row>
    <row r="245" spans="2:3">
      <c r="B245" s="54"/>
      <c r="C245" s="56"/>
    </row>
    <row r="246" spans="2:3">
      <c r="B246" s="55"/>
      <c r="C246" s="57"/>
    </row>
    <row r="247" spans="2:3">
      <c r="B247" s="72"/>
    </row>
    <row r="248" spans="2:3">
      <c r="B248" s="58"/>
      <c r="C248" s="70"/>
    </row>
    <row r="249" spans="2:3">
      <c r="B249" s="54"/>
      <c r="C249" s="56"/>
    </row>
    <row r="250" spans="2:3">
      <c r="B250" s="54"/>
      <c r="C250" s="56"/>
    </row>
    <row r="251" spans="2:3">
      <c r="B251" s="54"/>
      <c r="C251" s="56"/>
    </row>
    <row r="252" spans="2:3">
      <c r="B252" s="55"/>
      <c r="C252" s="57"/>
    </row>
    <row r="253" spans="2:3">
      <c r="B253" s="72"/>
    </row>
    <row r="254" spans="2:3">
      <c r="B254" s="58"/>
      <c r="C254" s="70"/>
    </row>
    <row r="255" spans="2:3">
      <c r="B255" s="54"/>
      <c r="C255" s="56"/>
    </row>
    <row r="256" spans="2:3">
      <c r="B256" s="54"/>
      <c r="C256" s="56"/>
    </row>
    <row r="257" spans="2:3">
      <c r="B257" s="54"/>
      <c r="C257" s="56"/>
    </row>
    <row r="258" spans="2:3">
      <c r="B258" s="55"/>
      <c r="C258" s="57"/>
    </row>
    <row r="259" spans="2:3">
      <c r="B259" s="72"/>
    </row>
    <row r="260" spans="2:3">
      <c r="B260" s="58"/>
      <c r="C260" s="70"/>
    </row>
    <row r="261" spans="2:3">
      <c r="B261" s="54"/>
      <c r="C261" s="56"/>
    </row>
    <row r="262" spans="2:3">
      <c r="B262" s="54"/>
      <c r="C262" s="56"/>
    </row>
    <row r="263" spans="2:3">
      <c r="B263" s="54"/>
      <c r="C263" s="56"/>
    </row>
    <row r="264" spans="2:3">
      <c r="B264" s="55"/>
      <c r="C264" s="57"/>
    </row>
    <row r="265" spans="2:3">
      <c r="B265" s="72"/>
    </row>
    <row r="266" spans="2:3">
      <c r="B266" s="58"/>
      <c r="C266" s="70"/>
    </row>
    <row r="267" spans="2:3">
      <c r="B267" s="54"/>
      <c r="C267" s="56"/>
    </row>
    <row r="268" spans="2:3">
      <c r="B268" s="54"/>
      <c r="C268" s="56"/>
    </row>
    <row r="269" spans="2:3">
      <c r="B269" s="54"/>
      <c r="C269" s="56"/>
    </row>
    <row r="270" spans="2:3">
      <c r="B270" s="54"/>
      <c r="C270" s="57"/>
    </row>
    <row r="271" spans="2:3">
      <c r="B271" s="101"/>
    </row>
    <row r="272" spans="2:3">
      <c r="B272" s="54"/>
      <c r="C272" s="70"/>
    </row>
    <row r="273" spans="2:3">
      <c r="B273" s="54"/>
      <c r="C273" s="56"/>
    </row>
    <row r="274" spans="2:3">
      <c r="B274" s="54"/>
      <c r="C274" s="56"/>
    </row>
    <row r="275" spans="2:3">
      <c r="B275" s="54"/>
      <c r="C275" s="56"/>
    </row>
    <row r="276" spans="2:3">
      <c r="B276" s="55"/>
      <c r="C276" s="57"/>
    </row>
    <row r="277" spans="2:3">
      <c r="B277" s="72"/>
    </row>
    <row r="278" spans="2:3">
      <c r="B278" s="58"/>
      <c r="C278" s="70"/>
    </row>
    <row r="279" spans="2:3">
      <c r="B279" s="54"/>
      <c r="C279" s="56"/>
    </row>
    <row r="280" spans="2:3">
      <c r="B280" s="54"/>
      <c r="C280" s="56"/>
    </row>
    <row r="281" spans="2:3">
      <c r="B281" s="54"/>
      <c r="C281" s="56"/>
    </row>
    <row r="282" spans="2:3">
      <c r="B282" s="55"/>
      <c r="C282" s="57"/>
    </row>
    <row r="283" spans="2:3">
      <c r="B283" s="72"/>
    </row>
    <row r="284" spans="2:3">
      <c r="B284" s="58"/>
      <c r="C284" s="70"/>
    </row>
    <row r="285" spans="2:3">
      <c r="B285" s="54"/>
      <c r="C285" s="56"/>
    </row>
    <row r="286" spans="2:3">
      <c r="B286" s="54"/>
      <c r="C286" s="56"/>
    </row>
    <row r="287" spans="2:3">
      <c r="B287" s="54"/>
      <c r="C287" s="56"/>
    </row>
    <row r="288" spans="2:3">
      <c r="B288" s="55"/>
      <c r="C288" s="57"/>
    </row>
    <row r="289" spans="2:3">
      <c r="B289" s="72"/>
    </row>
    <row r="290" spans="2:3">
      <c r="B290" s="58"/>
      <c r="C290" s="70"/>
    </row>
    <row r="291" spans="2:3">
      <c r="B291" s="54"/>
      <c r="C291" s="56"/>
    </row>
    <row r="292" spans="2:3">
      <c r="B292" s="54"/>
      <c r="C292" s="56"/>
    </row>
    <row r="293" spans="2:3">
      <c r="B293" s="54"/>
      <c r="C293" s="56"/>
    </row>
    <row r="294" spans="2:3">
      <c r="B294" s="55"/>
      <c r="C294" s="57"/>
    </row>
    <row r="353" spans="4:5">
      <c r="D353" s="3">
        <f>AVERAGE(D2:D352)</f>
        <v>78.22615819209031</v>
      </c>
      <c r="E353">
        <f>AVERAGE(E2:E352)</f>
        <v>21.868977272727275</v>
      </c>
    </row>
    <row r="922" spans="2:2">
      <c r="B922" t="s">
        <v>360</v>
      </c>
    </row>
    <row r="923" spans="2:2">
      <c r="B923" t="s">
        <v>361</v>
      </c>
    </row>
    <row r="924" spans="2:2">
      <c r="B924" t="s">
        <v>362</v>
      </c>
    </row>
    <row r="930" spans="3:4">
      <c r="C930" s="69" t="s">
        <v>359</v>
      </c>
      <c r="D930" t="s">
        <v>358</v>
      </c>
    </row>
    <row r="931" spans="3:4">
      <c r="C931" s="76" t="str" cm="1">
        <f t="array" ref="C931:D935">INDEX(_xlfn._xlws.SORT($B$2:$S$158,18,-1),_xlfn.SEQUENCE(5),{1,18})</f>
        <v>Suntory 'The Chita' - Round 2</v>
      </c>
      <c r="D931" s="7">
        <v>9</v>
      </c>
    </row>
    <row r="932" spans="3:4">
      <c r="C932" s="76" t="str">
        <v>Angels Envy Bourbon</v>
      </c>
      <c r="D932" s="7">
        <v>8.9499999999999993</v>
      </c>
    </row>
    <row r="933" spans="3:4">
      <c r="C933" s="76" t="str">
        <v>Weller</v>
      </c>
      <c r="D933" s="7">
        <v>8.8500000000000014</v>
      </c>
    </row>
    <row r="934" spans="3:4">
      <c r="C934" s="76" t="str">
        <v>The Gospel</v>
      </c>
      <c r="D934" s="7">
        <v>8.6857142857142851</v>
      </c>
    </row>
    <row r="935" spans="3:4">
      <c r="C935" s="76" t="str">
        <v>Gospel Solera Australian Rye</v>
      </c>
      <c r="D935" s="7">
        <v>8.6571428571428566</v>
      </c>
    </row>
  </sheetData>
  <autoFilter ref="A1:U213" xr:uid="{00000000-0001-0000-0000-000000000000}">
    <filterColumn colId="2">
      <filters>
        <filter val="American Whiskey"/>
        <filter val="Australian Whisky"/>
        <filter val="Banana Bourbon Whiskey"/>
        <filter val="Blended Irish Whiskey"/>
        <filter val="Blended Malt Scotch Whisky"/>
        <filter val="Blended Scotch Whisky"/>
        <filter val="Blended Whiskey"/>
        <filter val="Blended Whisky"/>
        <filter val="Bourbon"/>
        <filter val="Bourbon Rye"/>
        <filter val="Bourbon Whiskey"/>
        <filter val="Canadian Whisky"/>
        <filter val="Coffey Malt Whisky"/>
        <filter val="Double Malt Whisky"/>
        <filter val="Indian Single Malt Whisky"/>
        <filter val="Indian Whisky"/>
        <filter val="Irish Whiskey"/>
        <filter val="Irish Whisky"/>
        <filter val="Japanese Whisky"/>
        <filter val="Kentucky Whiskey"/>
        <filter val="Rye Whiskey"/>
        <filter val="Rye Whisky"/>
        <filter val="Scotch Whiskey"/>
        <filter val="Scotch Whisky"/>
        <filter val="Single Malt Irish Whiskey"/>
        <filter val="Single Malt Scotch Whiskey"/>
        <filter val="Single Malt Scotch Whisky"/>
        <filter val="Single Malt Whisky"/>
        <filter val="Small Batch American Whiskey"/>
        <filter val="Small Batch Bourbon"/>
        <filter val="Tennessee"/>
        <filter val="Tennessee Whiskey"/>
        <filter val="triple distilled irish whiskey"/>
        <filter val="Wheated Bourbon"/>
        <filter val="Whisky"/>
      </filters>
    </filterColumn>
    <sortState xmlns:xlrd2="http://schemas.microsoft.com/office/spreadsheetml/2017/richdata2" ref="A2:U213">
      <sortCondition ref="D1:D213"/>
    </sortState>
  </autoFilter>
  <mergeCells count="7">
    <mergeCell ref="E230:G230"/>
    <mergeCell ref="E231:G231"/>
    <mergeCell ref="E232:G232"/>
    <mergeCell ref="E233:G233"/>
    <mergeCell ref="E227:G227"/>
    <mergeCell ref="E228:G228"/>
    <mergeCell ref="E229:G229"/>
  </mergeCells>
  <conditionalFormatting sqref="H2:R87 H88:H89 J88:R89 H90:R123 H124 J124:R124">
    <cfRule type="cellIs" dxfId="10" priority="6" operator="equal">
      <formula>"N/A"</formula>
    </cfRule>
  </conditionalFormatting>
  <conditionalFormatting sqref="H2:R87 H88:H89 J88:R89 H90:R123 H124 J124:R124 S2:S198">
    <cfRule type="cellIs" dxfId="9" priority="10" operator="lessThan">
      <formula>5.5</formula>
    </cfRule>
    <cfRule type="cellIs" dxfId="8" priority="11" operator="greaterThan">
      <formula>5.5</formula>
    </cfRule>
  </conditionalFormatting>
  <conditionalFormatting sqref="H125:R196">
    <cfRule type="cellIs" dxfId="7" priority="1" operator="equal">
      <formula>"N/A"</formula>
    </cfRule>
    <cfRule type="cellIs" dxfId="6" priority="2" operator="equal">
      <formula>5.5</formula>
    </cfRule>
    <cfRule type="cellIs" dxfId="5" priority="3" operator="equal">
      <formula>0</formula>
    </cfRule>
    <cfRule type="cellIs" dxfId="4" priority="4" operator="lessThan">
      <formula>5.5</formula>
    </cfRule>
    <cfRule type="cellIs" dxfId="3" priority="5" operator="greaterThan">
      <formula>5.5</formula>
    </cfRule>
  </conditionalFormatting>
  <conditionalFormatting sqref="H2:S19 H20:R87 H88:H89 J88:R89 H90:R123 H124 J124:R124 S20:S198">
    <cfRule type="cellIs" dxfId="2" priority="7" operator="equal">
      <formula>5.5</formula>
    </cfRule>
  </conditionalFormatting>
  <conditionalFormatting sqref="H2:R87 H88:H89 J88:R89 H90:R123 H124 J124:R124 S2:S198">
    <cfRule type="cellIs" dxfId="1" priority="9" operator="equal">
      <formula>0</formula>
    </cfRule>
  </conditionalFormatting>
  <conditionalFormatting sqref="S2:S198">
    <cfRule type="cellIs" dxfId="0" priority="8" operator="equal">
      <formula>" 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Trevor Watson</dc:creator>
  <cp:keywords/>
  <dc:description/>
  <cp:lastModifiedBy/>
  <cp:revision/>
  <dcterms:created xsi:type="dcterms:W3CDTF">2022-05-23T02:56:39Z</dcterms:created>
  <dcterms:modified xsi:type="dcterms:W3CDTF">2026-04-17T02:42:18Z</dcterms:modified>
  <cp:category/>
  <cp:contentStatus/>
</cp:coreProperties>
</file>